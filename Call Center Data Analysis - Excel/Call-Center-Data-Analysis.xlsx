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njal\Downloads\Data Analysis\call center\"/>
    </mc:Choice>
  </mc:AlternateContent>
  <xr:revisionPtr revIDLastSave="0" documentId="13_ncr:1_{ABA694DE-A445-4774-AEE4-9D025B62EF20}" xr6:coauthVersionLast="47" xr6:coauthVersionMax="47" xr10:uidLastSave="{00000000-0000-0000-0000-000000000000}"/>
  <bookViews>
    <workbookView xWindow="-108" yWindow="-108" windowWidth="23256" windowHeight="12576" tabRatio="715" xr2:uid="{26D4546B-D2A1-4444-8EAF-A6228F96F0C1}"/>
  </bookViews>
  <sheets>
    <sheet name="Data" sheetId="2" r:id="rId1"/>
    <sheet name="Assets" sheetId="4" r:id="rId2"/>
    <sheet name="Pivot" sheetId="6" r:id="rId3"/>
    <sheet name="Dashboard" sheetId="5"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174" r:id="rId8"/>
    <pivotCache cacheId="177" r:id="rId9"/>
    <pivotCache cacheId="180" r:id="rId10"/>
    <pivotCache cacheId="183" r:id="rId11"/>
    <pivotCache cacheId="186" r:id="rId12"/>
    <pivotCache cacheId="18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2" i="6" l="1"/>
  <c r="E65" i="6"/>
  <c r="E64" i="6"/>
  <c r="E63" i="6"/>
  <c r="I56" i="6"/>
  <c r="H55" i="6"/>
  <c r="E52" i="6" a="1"/>
  <c r="E52" i="6" s="1"/>
  <c r="I52" i="6"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H54" i="6" l="1"/>
  <c r="H52" i="6"/>
  <c r="H53" i="6"/>
  <c r="I54" i="6"/>
  <c r="I55" i="6"/>
  <c r="H56" i="6"/>
  <c r="I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E24025-3B9E-49BD-887E-093FEF9AB8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151528-5F3B-4687-A3E2-FF5ABB29BC5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65184127-1BEE-476B-A2ED-B19142C0544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<sst xmlns="http://schemas.openxmlformats.org/spreadsheetml/2006/main" count="3209" uniqueCount="1101">
  <si>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</si>
  <si>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</si>
  <si>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</si>
  <si>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</si>
  <si>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</si>
  <si>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</si>
  <si>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</si>
  <si>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</si>
  <si>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</si>
  <si>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</si>
  <si>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</si>
  <si>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</si>
  <si>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</si>
  <si>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</si>
  <si>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</si>
  <si>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</si>
  <si>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</si>
  <si>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</si>
  <si>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</si>
  <si>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</si>
  <si>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</si>
  <si>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</si>
  <si>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</si>
  <si>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</si>
  <si>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</si>
  <si>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</si>
  <si>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</si>
  <si>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</si>
  <si>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</si>
  <si>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</si>
  <si>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</si>
  <si>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</si>
  <si>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</si>
  <si>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</si>
  <si>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</si>
  <si>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</si>
  <si>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</si>
  <si>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</si>
  <si>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</si>
  <si>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</si>
  <si>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</si>
  <si>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</si>
  <si>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</si>
  <si>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</si>
  <si>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</si>
  <si>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</si>
  <si>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</si>
  <si>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</si>
  <si>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</si>
  <si>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</si>
  <si>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</si>
  <si>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</si>
  <si>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</si>
  <si>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</si>
  <si>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</si>
  <si>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</si>
  <si>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</si>
  <si>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</si>
  <si>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</si>
  <si>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</si>
  <si>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</si>
  <si>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</si>
  <si>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</si>
  <si>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</si>
  <si>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</si>
  <si>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</si>
  <si>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</si>
  <si>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</si>
  <si>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</si>
  <si>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</si>
  <si>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</si>
  <si>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</si>
  <si>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</si>
  <si>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</si>
  <si>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</si>
  <si>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</si>
  <si>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</si>
  <si>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</si>
  <si>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</si>
  <si>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</si>
  <si>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</si>
  <si>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</si>
  <si>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</si>
  <si>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</si>
  <si>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</si>
  <si>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</si>
  <si>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</si>
  <si>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</si>
  <si>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</si>
  <si>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</si>
  <si>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</si>
  <si>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</si>
  <si>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</si>
  <si>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</si>
  <si>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</si>
  <si>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</si>
  <si>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</si>
  <si>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</si>
  <si>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</si>
  <si>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</si>
  <si>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</si>
  <si>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</si>
  <si>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</si>
  <si>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</si>
  <si>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</si>
  <si>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</si>
  <si>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</si>
  <si>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</si>
  <si>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</si>
  <si>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</si>
  <si>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</si>
  <si>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</si>
  <si>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</si>
  <si>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</si>
  <si>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</si>
  <si>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</si>
  <si>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</si>
  <si>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</si>
  <si>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</si>
  <si>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</si>
  <si>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</si>
  <si>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</si>
  <si>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</si>
  <si>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</si>
  <si>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</si>
  <si>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</si>
  <si>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</si>
  <si>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</si>
  <si>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</si>
  <si>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</si>
  <si>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</si>
  <si>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</si>
  <si>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</si>
  <si>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</si>
  <si>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</si>
  <si>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</si>
  <si>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</si>
  <si>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</si>
  <si>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</si>
  <si>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</si>
  <si>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</si>
  <si>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</si>
  <si>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</si>
  <si>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</si>
  <si>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</si>
  <si>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</si>
  <si>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</si>
  <si>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</si>
  <si>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</si>
  <si>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</si>
  <si>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</si>
  <si>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</si>
  <si>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</si>
  <si>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</si>
  <si>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</si>
  <si>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</si>
  <si>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</si>
  <si>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</si>
  <si>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</si>
  <si>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</si>
  <si>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</si>
  <si>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</si>
  <si>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</si>
  <si>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</si>
  <si>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</si>
  <si>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</si>
  <si>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</si>
  <si>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</si>
  <si>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</si>
  <si>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</si>
  <si>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</si>
  <si>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</si>
  <si>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</si>
  <si>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</si>
  <si>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</si>
  <si>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</si>
  <si>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</si>
  <si>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</si>
  <si>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</si>
  <si>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</si>
  <si>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</si>
  <si>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</si>
  <si>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</si>
  <si>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</si>
  <si>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</si>
  <si>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</si>
  <si>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</si>
  <si>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</si>
  <si>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</si>
  <si>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</si>
  <si>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</si>
  <si>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</si>
  <si>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</si>
  <si>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</si>
  <si>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</si>
  <si>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</si>
  <si>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</si>
  <si>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</si>
  <si>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</si>
  <si>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</si>
  <si>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</si>
  <si>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</si>
  <si>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</si>
  <si>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</si>
  <si>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</si>
  <si>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</si>
  <si>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</si>
  <si>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</si>
  <si>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</si>
  <si>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</si>
  <si>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</si>
  <si>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</si>
  <si>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</si>
  <si>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</si>
  <si>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</si>
  <si>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</si>
  <si>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</si>
  <si>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</si>
  <si>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</si>
  <si>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</si>
  <si>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</si>
  <si>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</si>
  <si>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</si>
  <si>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</si>
  <si>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</si>
  <si>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</si>
  <si>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</si>
  <si>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</si>
  <si>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</si>
  <si>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</si>
  <si>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</si>
  <si>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</si>
  <si>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</si>
  <si>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</si>
  <si>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</si>
  <si>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</si>
  <si>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</si>
  <si>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</si>
  <si>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</si>
  <si>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</si>
  <si>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</si>
  <si>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</si>
  <si>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</si>
  <si>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</si>
  <si>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</si>
  <si>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</si>
  <si>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</si>
  <si>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</si>
  <si>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</si>
  <si>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</si>
  <si>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</si>
  <si>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</si>
  <si>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</si>
  <si>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</si>
  <si>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</si>
  <si>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</si>
  <si>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</si>
  <si>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</si>
  <si>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</si>
  <si>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</si>
  <si>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</si>
  <si>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</si>
  <si>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</si>
  <si>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</si>
  <si>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</si>
  <si>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</si>
  <si>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</si>
  <si>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</si>
  <si>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</si>
  <si>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</si>
  <si>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</si>
  <si>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</si>
  <si>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</si>
  <si>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</si>
  <si>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</si>
  <si>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</si>
  <si>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</si>
  <si>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</si>
  <si>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</si>
  <si>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</si>
  <si>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</si>
  <si>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</si>
  <si>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</si>
  <si>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</si>
  <si>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</si>
  <si>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</si>
  <si>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</si>
  <si>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</si>
  <si>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</si>
  <si>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</si>
  <si>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</si>
  <si>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</si>
  <si>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</si>
  <si>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</si>
  <si>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</si>
  <si>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</si>
  <si>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</si>
  <si>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</si>
  <si>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</si>
  <si>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</si>
  <si>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</si>
  <si>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</si>
  <si>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</si>
  <si>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</si>
  <si>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</si>
  <si>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</si>
  <si>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</si>
  <si>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</si>
  <si>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</si>
  <si>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</si>
  <si>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</si>
  <si>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</si>
  <si>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</si>
  <si>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</si>
  <si>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</si>
  <si>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</si>
  <si>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</si>
  <si>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</si>
  <si>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</si>
  <si>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</si>
  <si>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</si>
  <si>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</si>
  <si>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</si>
  <si>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</si>
  <si>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</si>
  <si>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</si>
  <si>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</si>
  <si>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</si>
  <si>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</si>
  <si>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</si>
  <si>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</si>
  <si>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</si>
  <si>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</si>
  <si>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</si>
  <si>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</si>
  <si>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</si>
  <si>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</si>
  <si>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</si>
  <si>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</si>
  <si>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</si>
  <si>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</si>
  <si>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</si>
  <si>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</si>
  <si>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</si>
  <si>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</si>
  <si>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</si>
  <si>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</si>
  <si>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</si>
  <si>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</si>
  <si>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</si>
  <si>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</si>
  <si>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</si>
  <si>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</si>
  <si>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</si>
  <si>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</si>
  <si>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</si>
  <si>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</si>
  <si>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</si>
  <si>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</si>
  <si>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</si>
  <si>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</si>
  <si>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</si>
  <si>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</si>
  <si>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</si>
  <si>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</si>
  <si>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</si>
  <si>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</si>
  <si>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</si>
  <si>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</si>
  <si>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</si>
  <si>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</si>
  <si>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</si>
  <si>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</si>
  <si>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</si>
  <si>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</si>
  <si>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</si>
  <si>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</si>
  <si>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</si>
  <si>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</si>
  <si>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</si>
  <si>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</si>
  <si>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</si>
  <si>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</si>
  <si>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</si>
  <si>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</si>
  <si>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</si>
  <si>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</si>
  <si>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</si>
  <si>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</si>
  <si>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</si>
  <si>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</si>
  <si>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</si>
  <si>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</si>
  <si>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</si>
  <si>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</si>
  <si>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</si>
  <si>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</si>
  <si>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</si>
  <si>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</si>
  <si>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</si>
  <si>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</si>
  <si>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</si>
  <si>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</si>
  <si>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</si>
  <si>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</si>
  <si>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</si>
  <si>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</si>
  <si>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</si>
  <si>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</si>
  <si>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</si>
  <si>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</si>
  <si>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</si>
  <si>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</si>
  <si>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</si>
  <si>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</si>
  <si>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</si>
  <si>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</si>
  <si>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</si>
  <si>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</si>
  <si>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</si>
  <si>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</si>
  <si>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</si>
  <si>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</si>
  <si>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</si>
  <si>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</si>
  <si>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</si>
  <si>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</si>
  <si>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</si>
  <si>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</si>
  <si>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</si>
  <si>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</si>
  <si>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</si>
  <si>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</si>
  <si>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</si>
  <si>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</si>
  <si>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</si>
  <si>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</si>
  <si>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</si>
  <si>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</si>
  <si>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</si>
  <si>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</si>
  <si>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</si>
  <si>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</si>
  <si>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</si>
  <si>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</si>
  <si>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</si>
  <si>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</si>
  <si>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</si>
  <si>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</si>
  <si>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</si>
  <si>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</si>
  <si>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</si>
  <si>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</si>
  <si>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</si>
  <si>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</si>
  <si>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</si>
  <si>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</si>
  <si>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</si>
  <si>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</si>
  <si>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</si>
  <si>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</si>
  <si>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</si>
  <si>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</si>
  <si>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</si>
  <si>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</si>
  <si>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</si>
  <si>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</si>
  <si>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</si>
  <si>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</si>
  <si>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</si>
  <si>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</si>
  <si>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</si>
  <si>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</si>
  <si>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</si>
  <si>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</si>
  <si>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</si>
  <si>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</si>
  <si>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</si>
  <si>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</si>
  <si>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</si>
  <si>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</si>
  <si>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</si>
  <si>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</si>
  <si>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</si>
  <si>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</si>
  <si>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</si>
  <si>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</si>
  <si>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</si>
  <si>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</si>
  <si>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</si>
  <si>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</si>
  <si>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</si>
  <si>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</si>
  <si>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</si>
  <si>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</si>
  <si>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</si>
  <si>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</si>
  <si>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</si>
  <si>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</si>
  <si>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</si>
  <si>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</si>
  <si>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</si>
  <si>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</si>
  <si>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</si>
  <si>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</si>
  <si>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</si>
  <si>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</si>
  <si>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</si>
  <si>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</si>
  <si>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</si>
  <si>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</si>
  <si>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</si>
  <si>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</si>
  <si>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</si>
  <si>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</si>
  <si>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</si>
  <si>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</si>
  <si>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</si>
  <si>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</si>
  <si>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</si>
  <si>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</si>
  <si>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</si>
  <si>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</si>
  <si>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</si>
  <si>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</si>
  <si>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</si>
  <si>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</si>
  <si>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</si>
  <si>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</si>
  <si>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</si>
  <si>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</si>
  <si>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</si>
  <si>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</si>
  <si>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</si>
  <si>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</si>
  <si>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</si>
  <si>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</si>
  <si>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</si>
  <si>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</si>
  <si>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</si>
  <si>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</si>
  <si>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</si>
  <si>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</si>
  <si>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</si>
  <si>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</si>
  <si>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</si>
  <si>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</si>
  <si>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</si>
  <si>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</si>
  <si>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</si>
  <si>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</si>
  <si>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</si>
  <si>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</si>
  <si>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</si>
  <si>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</si>
  <si>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</si>
  <si>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</si>
  <si>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</si>
  <si>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</si>
  <si>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</si>
  <si>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</si>
  <si>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</si>
  <si>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</si>
  <si>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</si>
  <si>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</si>
  <si>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</si>
  <si>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</si>
  <si>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</si>
  <si>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</si>
  <si>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</si>
  <si>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</si>
  <si>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</si>
  <si>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</si>
  <si>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</si>
  <si>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</si>
  <si>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</si>
  <si>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</si>
  <si>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</si>
  <si>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</si>
  <si>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</si>
  <si>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</si>
  <si>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</si>
  <si>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</si>
  <si>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</si>
  <si>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</si>
  <si>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</si>
  <si>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</si>
  <si>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</si>
  <si>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</si>
  <si>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</si>
  <si>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</si>
  <si>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</si>
  <si>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</si>
  <si>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</si>
  <si>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</si>
  <si>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</si>
  <si>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</si>
  <si>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</si>
  <si>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</si>
  <si>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</si>
  <si>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</si>
  <si>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</si>
  <si>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</si>
  <si>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</si>
  <si>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</si>
  <si>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</si>
  <si>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</si>
  <si>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</si>
  <si>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</si>
  <si>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</si>
  <si>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</si>
  <si>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</si>
  <si>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</si>
  <si>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</si>
  <si>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</si>
  <si>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</si>
  <si>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</si>
  <si>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</si>
  <si>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</si>
  <si>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</si>
  <si>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</si>
  <si>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</si>
  <si>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</si>
  <si>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</si>
  <si>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</si>
  <si>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</si>
  <si>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</si>
  <si>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</si>
  <si>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</si>
  <si>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</si>
  <si>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</si>
  <si>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</si>
  <si>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</si>
  <si>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</si>
  <si>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</si>
  <si>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</si>
  <si>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</si>
  <si>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</si>
  <si>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</si>
  <si>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</si>
  <si>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</si>
  <si>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</si>
  <si>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</si>
  <si>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</si>
  <si>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</si>
  <si>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</si>
  <si>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</si>
  <si>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</si>
  <si>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</si>
  <si>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</si>
  <si>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</si>
  <si>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</si>
  <si>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</si>
  <si>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</si>
  <si>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</si>
  <si>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</si>
  <si>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</si>
  <si>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</si>
  <si>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</si>
  <si>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</si>
  <si>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</si>
  <si>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</si>
  <si>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</si>
  <si>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</si>
  <si>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</si>
  <si>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</si>
  <si>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</si>
  <si>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</si>
  <si>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</si>
  <si>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</si>
  <si>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</si>
  <si>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</si>
  <si>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</si>
  <si>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</si>
  <si>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</si>
  <si>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</si>
  <si>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</si>
  <si>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</si>
  <si>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</si>
  <si>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</si>
  <si>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</si>
  <si>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</si>
  <si>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</si>
  <si>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</si>
  <si>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</si>
  <si>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</si>
  <si>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</si>
  <si>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</si>
  <si>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</si>
  <si>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</si>
  <si>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</si>
  <si>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</si>
  <si>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</si>
  <si>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</si>
  <si>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</si>
  <si>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</si>
  <si>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</si>
  <si>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</si>
  <si>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</si>
  <si>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</si>
  <si>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</si>
  <si>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</si>
  <si>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</si>
  <si>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</si>
  <si>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</si>
  <si>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</si>
  <si>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</si>
  <si>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</si>
  <si>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</si>
  <si>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</si>
  <si>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</si>
  <si>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</si>
  <si>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</si>
  <si>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</si>
  <si>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</si>
  <si>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</si>
  <si>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</si>
  <si>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</si>
  <si>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</si>
  <si>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</si>
  <si>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</si>
  <si>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</si>
  <si>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</si>
  <si>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</si>
  <si>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</si>
  <si>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</si>
  <si>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</si>
  <si>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</si>
  <si>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</si>
  <si>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</si>
  <si>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</si>
  <si>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</si>
  <si>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</si>
  <si>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</si>
  <si>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</si>
  <si>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</si>
  <si>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</si>
  <si>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</si>
  <si>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</si>
  <si>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</si>
  <si>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</si>
  <si>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</si>
  <si>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</si>
  <si>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</si>
  <si>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</si>
  <si>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</si>
  <si>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</si>
  <si>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</si>
  <si>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</si>
  <si>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</si>
  <si>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</si>
  <si>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</si>
  <si>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</si>
  <si>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</si>
  <si>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</si>
  <si>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</si>
  <si>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</si>
  <si>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</si>
  <si>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</si>
  <si>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</si>
  <si>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</si>
  <si>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</si>
  <si>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</si>
  <si>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</si>
  <si>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</si>
  <si>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</si>
  <si>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</si>
  <si>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</si>
  <si>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</si>
  <si>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</si>
  <si>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</si>
  <si>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</si>
  <si>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</si>
  <si>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</si>
  <si>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</si>
  <si>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</si>
  <si>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</si>
  <si>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</si>
  <si>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</si>
  <si>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</si>
  <si>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</si>
  <si>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</si>
  <si>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</si>
  <si>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</si>
  <si>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</si>
  <si>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</si>
  <si>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</si>
  <si>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</si>
  <si>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</si>
  <si>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</si>
  <si>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</si>
  <si>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</si>
  <si>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</si>
  <si>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</si>
  <si>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</si>
  <si>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</si>
  <si>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</si>
  <si>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</si>
  <si>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</si>
  <si>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</si>
  <si>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</si>
  <si>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</si>
  <si>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</si>
  <si>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</si>
  <si>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</si>
  <si>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</si>
  <si>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</si>
  <si>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</si>
  <si>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</si>
  <si>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</si>
  <si>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</si>
  <si>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</si>
  <si>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</si>
  <si>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</si>
  <si>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</si>
  <si>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</si>
  <si>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</si>
  <si>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</si>
  <si>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</si>
  <si>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</si>
  <si>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</si>
  <si>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</si>
  <si>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</si>
  <si>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</si>
  <si>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</si>
  <si>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</si>
  <si>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</si>
  <si>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</si>
  <si>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</si>
  <si>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</si>
  <si>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</si>
  <si>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</si>
  <si>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</si>
  <si>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</si>
  <si>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</si>
  <si>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</si>
  <si>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</si>
  <si>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</si>
  <si>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</si>
  <si>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</si>
  <si>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</si>
  <si>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</si>
  <si>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</si>
  <si>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</si>
  <si>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</si>
  <si>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</si>
  <si>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</si>
  <si>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</si>
  <si>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</si>
  <si>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</si>
  <si>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</si>
  <si>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</si>
  <si>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</si>
  <si>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</si>
  <si>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</si>
  <si>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</si>
  <si>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</si>
  <si>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</si>
  <si>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</si>
  <si>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</si>
  <si>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</si>
  <si>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</si>
  <si>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</si>
  <si>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</si>
  <si>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</si>
  <si>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</si>
  <si>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</si>
  <si>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</si>
  <si>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</si>
  <si>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</si>
  <si>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</si>
  <si>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</si>
  <si>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</si>
  <si>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</si>
  <si>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</si>
  <si>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</si>
  <si>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</si>
  <si>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</si>
  <si>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</si>
  <si>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</si>
  <si>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</si>
  <si>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</si>
  <si>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</si>
  <si>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</si>
  <si>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</si>
  <si>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</si>
  <si>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</si>
  <si>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</si>
  <si>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</si>
  <si>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</si>
  <si>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</si>
  <si>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</si>
  <si>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</si>
  <si>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</si>
  <si>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</si>
  <si>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</si>
  <si>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</si>
  <si>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</si>
  <si>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</si>
  <si>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</si>
  <si>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</si>
  <si>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</si>
  <si>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</si>
  <si>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</si>
  <si>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</si>
  <si>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</si>
  <si>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</si>
  <si>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</si>
  <si>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</si>
  <si>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</si>
  <si>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</si>
  <si>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</si>
  <si>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</si>
  <si>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</si>
  <si>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</si>
  <si>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</si>
  <si>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</si>
  <si>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</si>
  <si>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</si>
  <si>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</si>
  <si>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</si>
  <si>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</si>
  <si>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</si>
  <si>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</si>
  <si>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</si>
  <si>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</si>
  <si>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</si>
  <si>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</si>
  <si>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</si>
  <si>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</si>
  <si>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</si>
  <si>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</si>
  <si>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</si>
  <si>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</si>
  <si>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</si>
  <si>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</si>
  <si>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</si>
  <si>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</si>
  <si>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</si>
  <si>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</si>
  <si>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</si>
  <si>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</si>
  <si>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</si>
  <si>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</si>
  <si>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</si>
  <si>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</si>
  <si>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</si>
  <si>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</si>
  <si>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</si>
  <si>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</si>
  <si>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</si>
  <si>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</si>
  <si>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</si>
  <si>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</si>
  <si>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</si>
  <si>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</si>
  <si>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</si>
  <si>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</si>
  <si>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</si>
  <si>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</si>
  <si>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</si>
  <si>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</si>
  <si>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</si>
  <si>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</si>
  <si>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</si>
  <si>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</si>
  <si>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</si>
  <si>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</si>
  <si>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</si>
  <si>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</si>
  <si>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</si>
  <si>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</si>
  <si>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</si>
  <si>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</si>
  <si>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</si>
  <si>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</si>
  <si>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</si>
  <si>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</si>
  <si>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</si>
  <si>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</si>
  <si>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</si>
  <si>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</si>
  <si>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</si>
  <si>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</si>
  <si>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</si>
  <si>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</si>
  <si>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</si>
  <si>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</si>
  <si>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</si>
  <si>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</si>
  <si>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</si>
  <si>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</si>
  <si>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</si>
  <si>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</si>
  <si>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</si>
  <si>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</si>
  <si>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</si>
  <si>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</si>
  <si>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</si>
  <si>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</si>
  <si>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</si>
  <si>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</si>
  <si>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</si>
  <si>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</si>
  <si>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</si>
  <si>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</si>
  <si>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</si>
  <si>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</si>
  <si>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</si>
  <si>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</si>
  <si>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</si>
  <si>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</si>
  <si>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</si>
  <si>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</si>
  <si>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</si>
  <si>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</si>
  <si>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</si>
  <si>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</si>
  <si>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</si>
  <si>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</si>
  <si>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</si>
  <si>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</si>
  <si>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</si>
  <si>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</si>
  <si>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</si>
  <si>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</si>
  <si>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</si>
  <si>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</si>
  <si>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</si>
  <si>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</si>
  <si>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</si>
  <si>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</si>
  <si>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</si>
  <si>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</si>
  <si>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</si>
  <si>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</si>
  <si>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</si>
  <si>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</si>
  <si>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</si>
  <si>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</si>
  <si>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</si>
  <si>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</si>
  <si>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countcalls</t>
  </si>
  <si>
    <t>TotalAmount</t>
  </si>
  <si>
    <t>TotalDuration</t>
  </si>
  <si>
    <t>AverageRating</t>
  </si>
  <si>
    <t>5*Calls</t>
  </si>
  <si>
    <t>Row Labels</t>
  </si>
  <si>
    <t>Grand Total</t>
  </si>
  <si>
    <t>Jan</t>
  </si>
  <si>
    <t>Feb</t>
  </si>
  <si>
    <t>Mar</t>
  </si>
  <si>
    <t>Apr</t>
  </si>
  <si>
    <t>May</t>
  </si>
  <si>
    <t>Jun</t>
  </si>
  <si>
    <t>Jul</t>
  </si>
  <si>
    <t>Aug</t>
  </si>
  <si>
    <t>Sep</t>
  </si>
  <si>
    <t>Oct</t>
  </si>
  <si>
    <t>Nov</t>
  </si>
  <si>
    <t>Dec</t>
  </si>
  <si>
    <t>Friday</t>
  </si>
  <si>
    <t>Monday</t>
  </si>
  <si>
    <t>Saturday</t>
  </si>
  <si>
    <t>Sunday</t>
  </si>
  <si>
    <t>Thursday</t>
  </si>
  <si>
    <t>Tuesday</t>
  </si>
  <si>
    <t>Wednesday</t>
  </si>
  <si>
    <t>no. of calls for each rating</t>
  </si>
  <si>
    <t>countcalls2</t>
  </si>
  <si>
    <t>Selected Rep</t>
  </si>
  <si>
    <t>Count of Call number</t>
  </si>
  <si>
    <t>Sum of Purchase Amount</t>
  </si>
  <si>
    <t>No. of calls and amount of each rep</t>
  </si>
  <si>
    <t>Rep</t>
  </si>
  <si>
    <t>Calls</t>
  </si>
  <si>
    <t>Amount</t>
  </si>
  <si>
    <t>Sel.Call</t>
  </si>
  <si>
    <t>Sel.Amount</t>
  </si>
  <si>
    <t>For Graph</t>
  </si>
  <si>
    <t>Column Labels</t>
  </si>
  <si>
    <t>Rep Summary</t>
  </si>
  <si>
    <t>Name</t>
  </si>
  <si>
    <t>Call Rank</t>
  </si>
  <si>
    <t>Amount Rank</t>
  </si>
  <si>
    <t>James</t>
  </si>
  <si>
    <t>Amelia</t>
  </si>
  <si>
    <t>Noah</t>
  </si>
  <si>
    <t>Sophia</t>
  </si>
  <si>
    <t>Emma</t>
  </si>
  <si>
    <t>Amount Rank :</t>
  </si>
  <si>
    <t xml:space="preserve">       Name :</t>
  </si>
  <si>
    <t>% of calls :</t>
  </si>
  <si>
    <t>Call Rank :</t>
  </si>
  <si>
    <t xml:space="preserve">   Call Center Report - 2025</t>
  </si>
  <si>
    <t>Gender trend</t>
  </si>
  <si>
    <t>graph for Selected Rep</t>
  </si>
  <si>
    <t>Week trend</t>
  </si>
  <si>
    <t>Month trend</t>
  </si>
  <si>
    <t>Complete Summary</t>
  </si>
  <si>
    <t>% Of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</si>
</sst>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k"/>
    <numFmt numFmtId="168" formatCode="[$$-1009]#,##0"/>
  </numFmts>
  <fonts count="10"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0" tint="-0.14999847407452621"/>
      <name val="Arial"/>
      <family val="2"/>
      <scheme val="minor"/>
    </font>
    <font>
      <sz val="11"/>
      <color theme="1" tint="4.9989318521683403E-2"/>
      <name val="Arial"/>
      <family val="2"/>
      <scheme val="minor"/>
    </font>
    <font>
      <b/>
      <sz val="10"/>
      <color theme="1"/>
      <name val="Arial"/>
      <family val="2"/>
      <scheme val="minor"/>
    </font>
    <font>
      <sz val="10"/>
      <color theme="1"/>
      <name val="Arial"/>
      <family val="2"/>
      <scheme val="minor"/>
    </font>
    <font>
      <sz val="11"/>
      <color theme="1"/>
      <name val="Arial"/>
      <family val="2"/>
      <scheme val="minor"/>
    </font>
    <font>
      <sz val="22"/>
      <color theme="1" tint="0.249977111117893"/>
      <name val="Arial"/>
      <family val="2"/>
      <scheme val="minor"/>
    </font>
  </fonts>
  <fills count="10">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rgb="FFFF3300"/>
        <bgColor indexed="64"/>
      </patternFill>
    </fill>
    <fill>
      <patternFill patternType="solid">
        <fgColor rgb="FFEEA55C"/>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s>
  <cellStyleXfs count="2">
    <xf numFmtId="0" fontId="0" fillId="0" borderId="0"/>
    <xf numFmtId="9" fontId="8" fillId="0" borderId="0" applyFont="0" applyFill="0" applyBorder="0" applyAlignment="0" applyProtection="0"/>
  </cellStyleXfs>
  <cellXfs count="5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165" fontId="0" fillId="0" borderId="0" xfId="0" applyNumberFormat="1"/>
    <xf numFmtId="3" fontId="0" fillId="0" borderId="0" xfId="0" applyNumberFormat="1"/>
    <xf numFmtId="166" fontId="0" fillId="0" borderId="0" xfId="0" applyNumberFormat="1"/>
    <xf numFmtId="0" fontId="4" fillId="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0" fontId="5" fillId="0" borderId="0" xfId="0" applyFont="1"/>
    <xf numFmtId="0" fontId="0" fillId="3" borderId="0" xfId="0" applyFill="1"/>
    <xf numFmtId="0" fontId="6" fillId="4" borderId="0" xfId="0" applyFont="1" applyFill="1"/>
    <xf numFmtId="168" fontId="7" fillId="4" borderId="0" xfId="0" applyNumberFormat="1" applyFont="1" applyFill="1"/>
    <xf numFmtId="168" fontId="6" fillId="4" borderId="0" xfId="0" applyNumberFormat="1" applyFont="1" applyFill="1"/>
    <xf numFmtId="0" fontId="0" fillId="4" borderId="0" xfId="0" applyFill="1"/>
    <xf numFmtId="0" fontId="1" fillId="5" borderId="0" xfId="0" applyFont="1" applyFill="1" applyAlignment="1">
      <alignment horizontal="right"/>
    </xf>
    <xf numFmtId="0" fontId="6" fillId="4" borderId="0" xfId="0" applyFont="1" applyFill="1" applyAlignment="1">
      <alignment horizontal="left"/>
    </xf>
    <xf numFmtId="0" fontId="7" fillId="4" borderId="0" xfId="0" applyFont="1" applyFill="1" applyAlignment="1">
      <alignment horizontal="left" indent="1"/>
    </xf>
    <xf numFmtId="0" fontId="0" fillId="6" borderId="0" xfId="0" applyFill="1" applyAlignment="1">
      <alignment horizontal="right"/>
    </xf>
    <xf numFmtId="9" fontId="0" fillId="6" borderId="0" xfId="1" applyFont="1" applyFill="1" applyAlignment="1">
      <alignment horizontal="center"/>
    </xf>
    <xf numFmtId="0" fontId="0" fillId="6" borderId="0" xfId="0" applyFill="1" applyAlignment="1">
      <alignment horizontal="center"/>
    </xf>
    <xf numFmtId="0" fontId="4" fillId="6" borderId="0" xfId="0" applyFont="1" applyFill="1" applyAlignment="1">
      <alignment horizontal="center"/>
    </xf>
    <xf numFmtId="0" fontId="9" fillId="3" borderId="0" xfId="0" applyFont="1" applyFill="1"/>
    <xf numFmtId="0" fontId="4" fillId="0" borderId="0" xfId="0" applyFont="1"/>
    <xf numFmtId="0" fontId="0" fillId="7" borderId="0" xfId="0" applyFill="1" applyAlignment="1">
      <alignment horizontal="left"/>
    </xf>
    <xf numFmtId="0" fontId="0" fillId="0" borderId="0" xfId="0" applyAlignment="1">
      <alignment wrapText="1"/>
    </xf>
    <xf numFmtId="0" fontId="0" fillId="0" borderId="0" xfId="0" applyNumberFormat="1"/>
    <xf numFmtId="0" fontId="0" fillId="8" borderId="0" xfId="0" applyFill="1"/>
    <xf numFmtId="0" fontId="0" fillId="8" borderId="0" xfId="0" applyFill="1" applyAlignment="1">
      <alignment horizontal="right"/>
    </xf>
    <xf numFmtId="0" fontId="5" fillId="8" borderId="0" xfId="0" applyFont="1" applyFill="1" applyAlignment="1">
      <alignment horizontal="left"/>
    </xf>
    <xf numFmtId="9" fontId="5" fillId="8" borderId="0" xfId="1" applyFont="1" applyFill="1" applyBorder="1" applyAlignment="1">
      <alignment horizontal="center"/>
    </xf>
    <xf numFmtId="0" fontId="5" fillId="8" borderId="0" xfId="0" applyFont="1" applyFill="1" applyAlignment="1">
      <alignment horizontal="center"/>
    </xf>
    <xf numFmtId="0" fontId="0" fillId="9" borderId="0" xfId="0" applyFill="1" applyAlignment="1">
      <alignment horizontal="center"/>
    </xf>
    <xf numFmtId="0" fontId="0" fillId="9" borderId="0" xfId="0" applyFill="1"/>
    <xf numFmtId="0" fontId="0" fillId="9" borderId="0" xfId="0" applyFill="1" applyBorder="1" applyAlignment="1">
      <alignment horizontal="center"/>
    </xf>
    <xf numFmtId="0" fontId="0" fillId="9" borderId="10" xfId="0" applyFill="1" applyBorder="1" applyAlignment="1">
      <alignment horizontal="center"/>
    </xf>
    <xf numFmtId="0" fontId="0" fillId="9" borderId="0" xfId="0" applyFill="1" applyBorder="1"/>
    <xf numFmtId="0" fontId="0" fillId="9" borderId="10" xfId="0" applyFill="1" applyBorder="1"/>
    <xf numFmtId="167" fontId="0" fillId="9" borderId="10" xfId="0" applyNumberFormat="1" applyFill="1" applyBorder="1"/>
  </cellXfs>
  <cellStyles count="2">
    <cellStyle name="Normal" xfId="0" builtinId="0"/>
    <cellStyle name="Per cent" xfId="1" builtinId="5"/>
  </cellStyles>
  <dxfs count="44">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patternType="solid">
          <bgColor rgb="FFF5D48B"/>
        </patternFill>
      </fill>
    </dxf>
    <dxf>
      <fill>
        <patternFill>
          <bgColor rgb="FFFF3300"/>
        </patternFill>
      </fill>
    </dxf>
    <dxf>
      <fill>
        <patternFill>
          <bgColor rgb="FFF6E6AC"/>
        </patternFill>
      </fill>
      <border>
        <left style="thin">
          <color theme="1" tint="0.499984740745262"/>
        </left>
        <right style="thin">
          <color theme="1" tint="0.499984740745262"/>
        </right>
        <top style="thin">
          <color theme="1" tint="0.499984740745262"/>
        </top>
        <bottom style="thin">
          <color theme="1" tint="0.499984740745262"/>
        </bottom>
        <vertical/>
        <horizontal/>
      </border>
    </dxf>
    <dxf>
      <fill>
        <patternFill>
          <bgColor rgb="FFFF3300"/>
        </patternFill>
      </fill>
    </dxf>
    <dxf>
      <fill>
        <patternFill patternType="solid">
          <bgColor rgb="FFF5D48B"/>
        </patternFill>
      </fill>
    </dxf>
    <dxf>
      <alignment wrapText="1"/>
    </dxf>
    <dxf>
      <numFmt numFmtId="168" formatCode="[$$-1009]#,##0"/>
    </dxf>
    <dxf>
      <numFmt numFmtId="168" formatCode="[$$-1009]#,##0"/>
    </dxf>
    <dxf>
      <numFmt numFmtId="168" formatCode="[$$-1009]#,##0"/>
    </dxf>
    <dxf>
      <numFmt numFmtId="168" formatCode="[$$-1009]#,##0"/>
    </dxf>
    <dxf>
      <numFmt numFmtId="168" formatCode="[$$-1009]#,##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43"/>
    </tableStyle>
  </tableStyles>
  <colors>
    <mruColors>
      <color rgb="FFEEA55C"/>
      <color rgb="FFF1A559"/>
      <color rgb="FFF5D48B"/>
      <color rgb="FFFF832F"/>
      <color rgb="FFFF7A5B"/>
      <color rgb="FFFF5A33"/>
      <color rgb="FFFF3300"/>
      <color rgb="FFF6E6AC"/>
      <color rgb="FF1588C1"/>
      <color rgb="FF116B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layout>
        <c:manualLayout>
          <c:xMode val="edge"/>
          <c:yMode val="edge"/>
          <c:x val="6.195450568678916E-2"/>
          <c:y val="2.63159171564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520815349323001E-2"/>
          <c:y val="0.11991377398247755"/>
          <c:w val="0.90948231471066121"/>
          <c:h val="0.82058542198070294"/>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Pivot!$E$52:$E$56</c:f>
              <c:strCache>
                <c:ptCount val="5"/>
                <c:pt idx="0">
                  <c:v>R01</c:v>
                </c:pt>
                <c:pt idx="1">
                  <c:v>R02</c:v>
                </c:pt>
                <c:pt idx="2">
                  <c:v>R03</c:v>
                </c:pt>
                <c:pt idx="3">
                  <c:v>R04</c:v>
                </c:pt>
                <c:pt idx="4">
                  <c:v>R05</c:v>
                </c:pt>
              </c:strCache>
            </c:strRef>
          </c:cat>
          <c:val>
            <c:numRef>
              <c:f>Pivot!$G$52:$G$56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5BC-431E-89A9-B394F37229A6}"/>
            </c:ext>
          </c:extLst>
        </c:ser>
        <c:ser>
          <c:idx val="1"/>
          <c:order val="1"/>
          <c:tx>
            <c:strRef>
              <c:f>Pivot!$I$51</c:f>
              <c:strCache>
                <c:ptCount val="1"/>
                <c:pt idx="0">
                  <c:v>Sel.Amount</c:v>
                </c:pt>
              </c:strCache>
            </c:strRef>
          </c:tx>
          <c:spPr>
            <a:gradFill>
              <a:gsLst>
                <a:gs pos="0">
                  <a:srgbClr val="FF3300"/>
                </a:gs>
                <a:gs pos="61000">
                  <a:srgbClr val="FDB750"/>
                </a:gs>
                <a:gs pos="100000">
                  <a:srgbClr val="F5D48B"/>
                </a:gs>
              </a:gsLst>
              <a:lin ang="10800000" scaled="1"/>
            </a:gradFill>
            <a:ln>
              <a:noFill/>
            </a:ln>
            <a:effectLst/>
          </c:spPr>
          <c:invertIfNegative val="0"/>
          <c:dLbls>
            <c:delete val="1"/>
          </c:dLbls>
          <c:val>
            <c:numRef>
              <c:f>Pivot!$I$52:$I$56</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55BC-431E-89A9-B394F37229A6}"/>
            </c:ext>
          </c:extLst>
        </c:ser>
        <c:dLbls>
          <c:dLblPos val="outEnd"/>
          <c:showLegendKey val="0"/>
          <c:showVal val="1"/>
          <c:showCatName val="0"/>
          <c:showSerName val="0"/>
          <c:showPercent val="0"/>
          <c:showBubbleSize val="0"/>
        </c:dLbls>
        <c:gapWidth val="30"/>
        <c:overlap val="100"/>
        <c:axId val="1104084304"/>
        <c:axId val="1104092944"/>
      </c:barChart>
      <c:catAx>
        <c:axId val="1104084304"/>
        <c:scaling>
          <c:orientation val="maxMin"/>
        </c:scaling>
        <c:delete val="1"/>
        <c:axPos val="l"/>
        <c:numFmt formatCode="General" sourceLinked="1"/>
        <c:majorTickMark val="none"/>
        <c:minorTickMark val="none"/>
        <c:tickLblPos val="nextTo"/>
        <c:crossAx val="1104092944"/>
        <c:crosses val="autoZero"/>
        <c:auto val="1"/>
        <c:lblAlgn val="ctr"/>
        <c:lblOffset val="100"/>
        <c:noMultiLvlLbl val="0"/>
      </c:catAx>
      <c:valAx>
        <c:axId val="1104092944"/>
        <c:scaling>
          <c:orientation val="minMax"/>
          <c:min val="0"/>
        </c:scaling>
        <c:delete val="1"/>
        <c:axPos val="t"/>
        <c:majorGridlines>
          <c:spPr>
            <a:ln w="9525" cap="flat" cmpd="sng" algn="ctr">
              <a:noFill/>
              <a:round/>
            </a:ln>
            <a:effectLst/>
          </c:spPr>
        </c:majorGridlines>
        <c:numFmt formatCode="\$#,###.0,\k" sourceLinked="1"/>
        <c:majorTickMark val="none"/>
        <c:minorTickMark val="none"/>
        <c:tickLblPos val="nextTo"/>
        <c:crossAx val="11040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[07.sample-data-excel-portfolio-project.xlsx]Pivot!MonthyTrend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 Trend</a:t>
            </a:r>
          </a:p>
        </c:rich>
      </c:tx>
      <c:layout>
        <c:manualLayout>
          <c:xMode val="edge"/>
          <c:yMode val="edge"/>
          <c:x val="1.3131281676587218E-2"/>
          <c:y val="2.08880410866123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C2E20"/>
            </a:solidFill>
            <a:round/>
          </a:ln>
          <a:effectLst>
            <a:outerShdw blurRad="50800" dist="50800" dir="5400000" algn="ctr" rotWithShape="0">
              <a:schemeClr val="bg1"/>
            </a:outerShdw>
          </a:effectLst>
        </c:spPr>
        <c:marker>
          <c:symbol val="circle"/>
          <c:size val="5"/>
          <c:spPr>
            <a:noFill/>
            <a:ln w="25400">
              <a:solidFill>
                <a:schemeClr val="tx1"/>
              </a:solidFill>
            </a:ln>
            <a:effectLst>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C2E20"/>
            </a:solidFill>
            <a:round/>
          </a:ln>
          <a:effectLst>
            <a:outerShdw blurRad="50800" dist="50800" dir="5400000" algn="ctr" rotWithShape="0">
              <a:schemeClr val="bg1"/>
            </a:outerShdw>
          </a:effectLst>
        </c:spPr>
        <c:marker>
          <c:symbol val="circle"/>
          <c:size val="5"/>
          <c:spPr>
            <a:noFill/>
            <a:ln w="25400">
              <a:solidFill>
                <a:schemeClr val="tx1"/>
              </a:solidFill>
            </a:ln>
            <a:effectLst>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3300"/>
            </a:solidFill>
            <a:round/>
          </a:ln>
          <a:effectLst/>
        </c:spPr>
        <c:marker>
          <c:symbol val="circle"/>
          <c:size val="6"/>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bg1">
                  <a:lumMod val="95000"/>
                </a:schemeClr>
              </a:gs>
              <a:gs pos="68000">
                <a:srgbClr val="FF643F"/>
              </a:gs>
              <a:gs pos="100000">
                <a:srgbClr val="FF33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Pivot!$C$14</c:f>
              <c:strCache>
                <c:ptCount val="1"/>
                <c:pt idx="0">
                  <c:v>countcalls2</c:v>
                </c:pt>
              </c:strCache>
            </c:strRef>
          </c:tx>
          <c:spPr>
            <a:gradFill flip="none" rotWithShape="1">
              <a:gsLst>
                <a:gs pos="0">
                  <a:schemeClr val="bg1">
                    <a:lumMod val="95000"/>
                  </a:schemeClr>
                </a:gs>
                <a:gs pos="68000">
                  <a:srgbClr val="FF643F"/>
                </a:gs>
                <a:gs pos="100000">
                  <a:srgbClr val="FF3300"/>
                </a:gs>
              </a:gsLst>
              <a:lin ang="16200000" scaled="1"/>
              <a:tileRect/>
            </a:gradFill>
            <a:ln>
              <a:noFill/>
            </a:ln>
            <a:effectLst/>
          </c:spP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Pivot!$C$15:$C$27</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2188-43F2-820C-F412365332B9}"/>
            </c:ext>
          </c:extLst>
        </c:ser>
        <c:dLbls>
          <c:showLegendKey val="0"/>
          <c:showVal val="0"/>
          <c:showCatName val="0"/>
          <c:showSerName val="0"/>
          <c:showPercent val="0"/>
          <c:showBubbleSize val="0"/>
        </c:dLbls>
        <c:axId val="1702870271"/>
        <c:axId val="1702866911"/>
      </c:areaChart>
      <c:lineChart>
        <c:grouping val="standard"/>
        <c:varyColors val="0"/>
        <c:ser>
          <c:idx val="0"/>
          <c:order val="0"/>
          <c:tx>
            <c:strRef>
              <c:f>Pivot!$B$14</c:f>
              <c:strCache>
                <c:ptCount val="1"/>
                <c:pt idx="0">
                  <c:v>countcalls</c:v>
                </c:pt>
              </c:strCache>
            </c:strRef>
          </c:tx>
          <c:spPr>
            <a:ln w="28575" cap="rnd">
              <a:solidFill>
                <a:srgbClr val="FF3300"/>
              </a:solidFill>
              <a:round/>
            </a:ln>
            <a:effectLst/>
          </c:spPr>
          <c:marker>
            <c:symbol val="circle"/>
            <c:size val="6"/>
            <c:spPr>
              <a:solidFill>
                <a:schemeClr val="bg1"/>
              </a:solidFill>
              <a:ln w="25400">
                <a:solidFill>
                  <a:schemeClr val="tx1"/>
                </a:solidFill>
              </a:ln>
              <a:effectLst/>
            </c:spPr>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EA93-40B7-8E5B-AD565DBDF1C4}"/>
            </c:ext>
          </c:extLst>
        </c:ser>
        <c:dLbls>
          <c:showLegendKey val="0"/>
          <c:showVal val="0"/>
          <c:showCatName val="0"/>
          <c:showSerName val="0"/>
          <c:showPercent val="0"/>
          <c:showBubbleSize val="0"/>
        </c:dLbls>
        <c:marker val="1"/>
        <c:smooth val="0"/>
        <c:axId val="1702870271"/>
        <c:axId val="1702866911"/>
      </c:lineChart>
      <c:catAx>
        <c:axId val="170287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866911"/>
        <c:crosses val="autoZero"/>
        <c:auto val="1"/>
        <c:lblAlgn val="ctr"/>
        <c:lblOffset val="100"/>
        <c:noMultiLvlLbl val="0"/>
      </c:catAx>
      <c:valAx>
        <c:axId val="170286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870271"/>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sx="1000" sy="1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[07.sample-data-excel-portfolio-project.xlsx]Pivot!CallRatings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3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Pivot!$B$41</c:f>
              <c:strCache>
                <c:ptCount val="1"/>
                <c:pt idx="0">
                  <c:v>Total</c:v>
                </c:pt>
              </c:strCache>
            </c:strRef>
          </c:tx>
          <c:spPr>
            <a:solidFill>
              <a:srgbClr val="FF832F"/>
            </a:solidFill>
            <a:ln>
              <a:noFill/>
            </a:ln>
            <a:effectLst/>
          </c:spPr>
          <c:invertIfNegative val="0"/>
          <c:cat>
            <c:strRef>
              <c:f>Pivot!$A$42:$A$47</c:f>
              <c:strCache>
                <c:ptCount val="5"/>
                <c:pt idx="0">
                  <c:v>1</c:v>
                </c:pt>
                <c:pt idx="1">
                  <c:v>2</c:v>
                </c:pt>
                <c:pt idx="2">
                  <c:v>3</c:v>
                </c:pt>
                <c:pt idx="3">
                  <c:v>4</c:v>
                </c:pt>
                <c:pt idx="4">
                  <c:v>5</c:v>
                </c:pt>
              </c:strCache>
            </c:strRef>
          </c:cat>
          <c:val>
            <c:numRef>
              <c:f>Pivot!$B$42:$B$47</c:f>
              <c:numCache>
                <c:formatCode>General</c:formatCode>
                <c:ptCount val="5"/>
                <c:pt idx="0">
                  <c:v>1</c:v>
                </c:pt>
                <c:pt idx="1">
                  <c:v>9</c:v>
                </c:pt>
                <c:pt idx="2">
                  <c:v>31</c:v>
                </c:pt>
                <c:pt idx="3">
                  <c:v>88</c:v>
                </c:pt>
                <c:pt idx="4">
                  <c:v>60</c:v>
                </c:pt>
              </c:numCache>
            </c:numRef>
          </c:val>
          <c:extLst>
            <c:ext xmlns:c16="http://schemas.microsoft.com/office/drawing/2014/chart" uri="{C3380CC4-5D6E-409C-BE32-E72D297353CC}">
              <c16:uniqueId val="{00000000-D005-4987-A6CE-C96F88DD20C8}"/>
            </c:ext>
          </c:extLst>
        </c:ser>
        <c:dLbls>
          <c:showLegendKey val="0"/>
          <c:showVal val="0"/>
          <c:showCatName val="0"/>
          <c:showSerName val="0"/>
          <c:showPercent val="0"/>
          <c:showBubbleSize val="0"/>
        </c:dLbls>
        <c:gapWidth val="30"/>
        <c:overlap val="-27"/>
        <c:axId val="474599120"/>
        <c:axId val="474581840"/>
      </c:barChart>
      <c:catAx>
        <c:axId val="47459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81840"/>
        <c:crosses val="autoZero"/>
        <c:auto val="1"/>
        <c:lblAlgn val="ctr"/>
        <c:lblOffset val="100"/>
        <c:noMultiLvlLbl val="0"/>
      </c:catAx>
      <c:valAx>
        <c:axId val="47458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[07.sample-data-excel-portfolio-project.xlsx]Pivot!WeeklyCalls</c:name>
    <c:fmtId val="17"/>
  </c:pivotSource>
  <c:chart>
    <c:autoTitleDeleted val="1"/>
    <c:pivotFmts>
      <c:pivotFmt>
        <c:idx val="0"/>
        <c:spPr>
          <a:solidFill>
            <a:srgbClr val="FF64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4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16B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06507642427048"/>
          <c:y val="4.4070512820512824E-2"/>
          <c:w val="0.66631451520202301"/>
          <c:h val="0.91185897435897434"/>
        </c:manualLayout>
      </c:layout>
      <c:barChart>
        <c:barDir val="bar"/>
        <c:grouping val="clustered"/>
        <c:varyColors val="0"/>
        <c:ser>
          <c:idx val="0"/>
          <c:order val="0"/>
          <c:tx>
            <c:strRef>
              <c:f>Pivot!$B$30</c:f>
              <c:strCache>
                <c:ptCount val="1"/>
                <c:pt idx="0">
                  <c:v>Total</c:v>
                </c:pt>
              </c:strCache>
            </c:strRef>
          </c:tx>
          <c:spPr>
            <a:solidFill>
              <a:srgbClr val="116B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Pivot!$A$31:$A$38</c:f>
              <c:strCache>
                <c:ptCount val="7"/>
                <c:pt idx="0">
                  <c:v>Sunday</c:v>
                </c:pt>
                <c:pt idx="1">
                  <c:v>Saturday</c:v>
                </c:pt>
                <c:pt idx="2">
                  <c:v>Friday</c:v>
                </c:pt>
                <c:pt idx="3">
                  <c:v>Thursday</c:v>
                </c:pt>
                <c:pt idx="4">
                  <c:v>Wednesday</c:v>
                </c:pt>
                <c:pt idx="5">
                  <c:v>Tuesday</c:v>
                </c:pt>
                <c:pt idx="6">
                  <c:v>Monday</c:v>
                </c:pt>
              </c:strCache>
            </c:strRef>
          </c:cat>
          <c:val>
            <c:numRef>
              <c:f>Pivot!$B$31:$B$38</c:f>
              <c:numCache>
                <c:formatCode>General</c:formatCode>
                <c:ptCount val="7"/>
                <c:pt idx="0">
                  <c:v>36</c:v>
                </c:pt>
                <c:pt idx="1">
                  <c:v>40</c:v>
                </c:pt>
                <c:pt idx="2">
                  <c:v>24</c:v>
                </c:pt>
                <c:pt idx="3">
                  <c:v>23</c:v>
                </c:pt>
                <c:pt idx="4">
                  <c:v>23</c:v>
                </c:pt>
                <c:pt idx="5">
                  <c:v>13</c:v>
                </c:pt>
                <c:pt idx="6">
                  <c:v>30</c:v>
                </c:pt>
              </c:numCache>
            </c:numRef>
          </c:val>
          <c:extLst>
            <c:ext xmlns:c16="http://schemas.microsoft.com/office/drawing/2014/chart" uri="{C3380CC4-5D6E-409C-BE32-E72D297353CC}">
              <c16:uniqueId val="{00000000-3800-42FC-ABB1-5E69904FB725}"/>
            </c:ext>
          </c:extLst>
        </c:ser>
        <c:dLbls>
          <c:dLblPos val="outEnd"/>
          <c:showLegendKey val="0"/>
          <c:showVal val="1"/>
          <c:showCatName val="0"/>
          <c:showSerName val="0"/>
          <c:showPercent val="0"/>
          <c:showBubbleSize val="0"/>
        </c:dLbls>
        <c:gapWidth val="30"/>
        <c:axId val="199021327"/>
        <c:axId val="199001647"/>
      </c:barChart>
      <c:catAx>
        <c:axId val="19902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1647"/>
        <c:crosses val="autoZero"/>
        <c:auto val="1"/>
        <c:lblAlgn val="ctr"/>
        <c:lblOffset val="100"/>
        <c:noMultiLvlLbl val="0"/>
      </c:catAx>
      <c:valAx>
        <c:axId val="19900164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9902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a:t>
            </a:r>
          </a:p>
        </c:rich>
      </c:tx>
      <c:layout>
        <c:manualLayout>
          <c:xMode val="edge"/>
          <c:yMode val="edge"/>
          <c:x val="8.4275340471132124E-2"/>
          <c:y val="2.6408450704225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58894103324367"/>
          <c:y val="0.12106160585560607"/>
          <c:w val="0.87908305024839473"/>
          <c:h val="0.82361111111111107"/>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Pivot!$E$52:$E$56</c:f>
              <c:strCache>
                <c:ptCount val="5"/>
                <c:pt idx="0">
                  <c:v>R01</c:v>
                </c:pt>
                <c:pt idx="1">
                  <c:v>R02</c:v>
                </c:pt>
                <c:pt idx="2">
                  <c:v>R03</c:v>
                </c:pt>
                <c:pt idx="3">
                  <c:v>R04</c:v>
                </c:pt>
                <c:pt idx="4">
                  <c:v>R05</c:v>
                </c:pt>
              </c:strCache>
            </c:strRef>
          </c:cat>
          <c:val>
            <c:numRef>
              <c:f>Pivot!$F$52:$F$56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AC9-43A6-8318-1DB0C3AE0DF3}"/>
            </c:ext>
          </c:extLst>
        </c:ser>
        <c:ser>
          <c:idx val="1"/>
          <c:order val="1"/>
          <c:tx>
            <c:strRef>
              <c:f>Pivot!$H$51</c:f>
              <c:strCache>
                <c:ptCount val="1"/>
                <c:pt idx="0">
                  <c:v>Sel.Call</c:v>
                </c:pt>
              </c:strCache>
            </c:strRef>
          </c:tx>
          <c:spPr>
            <a:gradFill flip="none" rotWithShape="1">
              <a:gsLst>
                <a:gs pos="0">
                  <a:srgbClr val="FF5229"/>
                </a:gs>
                <a:gs pos="53000">
                  <a:srgbClr val="FDB750"/>
                </a:gs>
                <a:gs pos="100000">
                  <a:srgbClr val="F5D48B"/>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Pivot!$H$52:$H$56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8AC9-43A6-8318-1DB0C3AE0DF3}"/>
            </c:ext>
          </c:extLst>
        </c:ser>
        <c:dLbls>
          <c:dLblPos val="outEnd"/>
          <c:showLegendKey val="0"/>
          <c:showVal val="1"/>
          <c:showCatName val="0"/>
          <c:showSerName val="0"/>
          <c:showPercent val="0"/>
          <c:showBubbleSize val="0"/>
        </c:dLbls>
        <c:gapWidth val="30"/>
        <c:overlap val="100"/>
        <c:axId val="1104084304"/>
        <c:axId val="1104092944"/>
      </c:barChart>
      <c:catAx>
        <c:axId val="11040843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92944"/>
        <c:crosses val="autoZero"/>
        <c:auto val="1"/>
        <c:lblAlgn val="ctr"/>
        <c:lblOffset val="100"/>
        <c:noMultiLvlLbl val="0"/>
      </c:catAx>
      <c:valAx>
        <c:axId val="1104092944"/>
        <c:scaling>
          <c:orientation val="minMax"/>
          <c:min val="0"/>
        </c:scaling>
        <c:delete val="1"/>
        <c:axPos val="t"/>
        <c:majorGridlines>
          <c:spPr>
            <a:ln w="9525" cap="flat" cmpd="sng" algn="ctr">
              <a:noFill/>
              <a:round/>
            </a:ln>
            <a:effectLst/>
          </c:spPr>
        </c:majorGridlines>
        <c:numFmt formatCode="General" sourceLinked="1"/>
        <c:majorTickMark val="none"/>
        <c:minorTickMark val="none"/>
        <c:tickLblPos val="nextTo"/>
        <c:crossAx val="11040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[07.sample-data-excel-portfolio-project.xlsx]Pivot!GenderTrend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D7F20"/>
                </a:solidFill>
              </a:rPr>
              <a:t>Female</a:t>
            </a:r>
            <a:r>
              <a:rPr lang="en-IN"/>
              <a:t> vs </a:t>
            </a:r>
            <a:r>
              <a:rPr lang="en-IN">
                <a:solidFill>
                  <a:srgbClr val="00B0F0"/>
                </a:solidFill>
              </a:rPr>
              <a:t>Male</a:t>
            </a:r>
            <a:r>
              <a:rPr lang="en-IN"/>
              <a:t> Callers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A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Pivot!$B$75:$B$76</c:f>
              <c:strCache>
                <c:ptCount val="1"/>
                <c:pt idx="0">
                  <c:v>Female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Pivot!$A$77:$A$80</c:f>
              <c:strCache>
                <c:ptCount val="3"/>
                <c:pt idx="0">
                  <c:v>Cincinnati</c:v>
                </c:pt>
                <c:pt idx="1">
                  <c:v>Cleveland</c:v>
                </c:pt>
                <c:pt idx="2">
                  <c:v>Columbus</c:v>
                </c:pt>
              </c:strCache>
            </c:strRef>
          </c:cat>
          <c:val>
            <c:numRef>
              <c:f>Pivot!$B$77:$B$80</c:f>
              <c:numCache>
                <c:formatCode>General</c:formatCode>
                <c:ptCount val="3"/>
                <c:pt idx="0">
                  <c:v>30</c:v>
                </c:pt>
                <c:pt idx="1">
                  <c:v>57</c:v>
                </c:pt>
                <c:pt idx="2">
                  <c:v>29</c:v>
                </c:pt>
              </c:numCache>
            </c:numRef>
          </c:val>
          <c:extLst>
            <c:ext xmlns:c16="http://schemas.microsoft.com/office/drawing/2014/chart" uri="{C3380CC4-5D6E-409C-BE32-E72D297353CC}">
              <c16:uniqueId val="{00000000-169E-4E09-A2A1-CC7889476BD7}"/>
            </c:ext>
          </c:extLst>
        </c:ser>
        <c:ser>
          <c:idx val="1"/>
          <c:order val="1"/>
          <c:tx>
            <c:strRef>
              <c:f>Pivot!$C$75:$C$76</c:f>
              <c:strCache>
                <c:ptCount val="1"/>
                <c:pt idx="0">
                  <c:v>Male</c:v>
                </c:pt>
              </c:strCache>
            </c:strRef>
          </c:tx>
          <c:spPr>
            <a:solidFill>
              <a:srgbClr val="F1A5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Pivot!$A$77:$A$80</c:f>
              <c:strCache>
                <c:ptCount val="3"/>
                <c:pt idx="0">
                  <c:v>Cincinnati</c:v>
                </c:pt>
                <c:pt idx="1">
                  <c:v>Cleveland</c:v>
                </c:pt>
                <c:pt idx="2">
                  <c:v>Columbus</c:v>
                </c:pt>
              </c:strCache>
            </c:strRef>
          </c:cat>
          <c:val>
            <c:numRef>
              <c:f>Pivot!$C$77:$C$80</c:f>
              <c:numCache>
                <c:formatCode>General</c:formatCode>
                <c:ptCount val="3"/>
                <c:pt idx="0">
                  <c:v>26</c:v>
                </c:pt>
                <c:pt idx="1">
                  <c:v>13</c:v>
                </c:pt>
                <c:pt idx="2">
                  <c:v>34</c:v>
                </c:pt>
              </c:numCache>
            </c:numRef>
          </c:val>
          <c:extLst>
            <c:ext xmlns:c16="http://schemas.microsoft.com/office/drawing/2014/chart" uri="{C3380CC4-5D6E-409C-BE32-E72D297353CC}">
              <c16:uniqueId val="{00000001-169E-4E09-A2A1-CC7889476BD7}"/>
            </c:ext>
          </c:extLst>
        </c:ser>
        <c:dLbls>
          <c:showLegendKey val="0"/>
          <c:showVal val="0"/>
          <c:showCatName val="0"/>
          <c:showSerName val="0"/>
          <c:showPercent val="0"/>
          <c:showBubbleSize val="0"/>
        </c:dLbls>
        <c:gapWidth val="30"/>
        <c:overlap val="100"/>
        <c:axId val="1104067504"/>
        <c:axId val="1104068944"/>
      </c:barChart>
      <c:catAx>
        <c:axId val="110406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04068944"/>
        <c:crosses val="autoZero"/>
        <c:auto val="1"/>
        <c:lblAlgn val="ctr"/>
        <c:lblOffset val="100"/>
        <c:noMultiLvlLbl val="0"/>
      </c:catAx>
      <c:valAx>
        <c:axId val="1104068944"/>
        <c:scaling>
          <c:orientation val="minMax"/>
        </c:scaling>
        <c:delete val="1"/>
        <c:axPos val="l"/>
        <c:numFmt formatCode="0%" sourceLinked="1"/>
        <c:majorTickMark val="none"/>
        <c:minorTickMark val="none"/>
        <c:tickLblPos val="nextTo"/>
        <c:crossAx val="110406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chart" Target="../charts/chart3.xml"/><Relationship Id="rId3" Type="http://schemas.openxmlformats.org/officeDocument/2006/relationships/image" Target="../media/image14.svg"/><Relationship Id="rId7" Type="http://schemas.openxmlformats.org/officeDocument/2006/relationships/image" Target="../media/image18.svg"/><Relationship Id="rId12" Type="http://schemas.openxmlformats.org/officeDocument/2006/relationships/chart" Target="../charts/chart2.xml"/><Relationship Id="rId17" Type="http://schemas.openxmlformats.org/officeDocument/2006/relationships/image" Target="../media/image23.emf"/><Relationship Id="rId2" Type="http://schemas.openxmlformats.org/officeDocument/2006/relationships/image" Target="../media/image13.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7.png"/><Relationship Id="rId11" Type="http://schemas.openxmlformats.org/officeDocument/2006/relationships/image" Target="../media/image22.svg"/><Relationship Id="rId5" Type="http://schemas.openxmlformats.org/officeDocument/2006/relationships/image" Target="../media/image16.svg"/><Relationship Id="rId15" Type="http://schemas.openxmlformats.org/officeDocument/2006/relationships/chart" Target="../charts/chart5.xml"/><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svg"/><Relationship Id="rId1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10</xdr:row>
      <xdr:rowOff>3063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13252</xdr:colOff>
      <xdr:row>1</xdr:row>
      <xdr:rowOff>131534</xdr:rowOff>
    </xdr:from>
    <xdr:to>
      <xdr:col>1</xdr:col>
      <xdr:colOff>422902</xdr:colOff>
      <xdr:row>3</xdr:row>
      <xdr:rowOff>45884</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2487" y="303812"/>
          <a:ext cx="409650" cy="404681"/>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106017</xdr:colOff>
      <xdr:row>10</xdr:row>
      <xdr:rowOff>127765</xdr:rowOff>
    </xdr:from>
    <xdr:to>
      <xdr:col>1</xdr:col>
      <xdr:colOff>515667</xdr:colOff>
      <xdr:row>13</xdr:row>
      <xdr:rowOff>10641</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5252" y="2579417"/>
          <a:ext cx="409650" cy="399711"/>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91440</xdr:colOff>
      <xdr:row>58</xdr:row>
      <xdr:rowOff>68581</xdr:rowOff>
    </xdr:from>
    <xdr:to>
      <xdr:col>13</xdr:col>
      <xdr:colOff>190500</xdr:colOff>
      <xdr:row>68</xdr:row>
      <xdr:rowOff>53341</xdr:rowOff>
    </xdr:to>
    <mc:AlternateContent xmlns:mc="http://schemas.openxmlformats.org/markup-compatibility/2006">
      <mc:Choice xmlns:a14="http://schemas.microsoft.com/office/drawing/2010/main" Requires="a14">
        <xdr:graphicFrame macro="">
          <xdr:nvGraphicFramePr>
            <xdr:cNvPr id="3" name="Representative">
              <a:extLst>
                <a:ext uri="{FF2B5EF4-FFF2-40B4-BE49-F238E27FC236}">
                  <a16:creationId xmlns:a16="http://schemas.microsoft.com/office/drawing/2014/main" id="{6252268B-2C01-FBED-ED35-9BC009C802C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591300" y="10317481"/>
              <a:ext cx="154686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167640</xdr:colOff>
      <xdr:row>49</xdr:row>
      <xdr:rowOff>38100</xdr:rowOff>
    </xdr:from>
    <xdr:to>
      <xdr:col>3</xdr:col>
      <xdr:colOff>746760</xdr:colOff>
      <xdr:row>49</xdr:row>
      <xdr:rowOff>167640</xdr:rowOff>
    </xdr:to>
    <xdr:sp macro="" textlink="">
      <xdr:nvSpPr>
        <xdr:cNvPr id="2" name="Arrow: Right 1">
          <a:extLst>
            <a:ext uri="{FF2B5EF4-FFF2-40B4-BE49-F238E27FC236}">
              <a16:creationId xmlns:a16="http://schemas.microsoft.com/office/drawing/2014/main" id="{524097FD-A7DB-8057-3350-08B0500A895F}"/>
            </a:ext>
          </a:extLst>
        </xdr:cNvPr>
        <xdr:cNvSpPr/>
      </xdr:nvSpPr>
      <xdr:spPr>
        <a:xfrm>
          <a:off x="4678680" y="8625840"/>
          <a:ext cx="579120" cy="1295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561340</xdr:colOff>
      <xdr:row>23</xdr:row>
      <xdr:rowOff>10160</xdr:rowOff>
    </xdr:from>
    <xdr:to>
      <xdr:col>14</xdr:col>
      <xdr:colOff>508000</xdr:colOff>
      <xdr:row>41</xdr:row>
      <xdr:rowOff>142240</xdr:rowOff>
    </xdr:to>
    <xdr:graphicFrame macro="">
      <xdr:nvGraphicFramePr>
        <xdr:cNvPr id="10" name="Chart 9">
          <a:extLst>
            <a:ext uri="{FF2B5EF4-FFF2-40B4-BE49-F238E27FC236}">
              <a16:creationId xmlns:a16="http://schemas.microsoft.com/office/drawing/2014/main" id="{52747918-D682-4B3E-8C5B-6522099D0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217716</xdr:colOff>
      <xdr:row>2</xdr:row>
      <xdr:rowOff>114300</xdr:rowOff>
    </xdr:from>
    <xdr:to>
      <xdr:col>4</xdr:col>
      <xdr:colOff>487887</xdr:colOff>
      <xdr:row>8</xdr:row>
      <xdr:rowOff>149272</xdr:rowOff>
    </xdr:to>
    <xdr:sp macro="" textlink="Pivot!A5">
      <xdr:nvSpPr>
        <xdr:cNvPr id="2" name="Rectangle 1">
          <a:extLst>
            <a:ext uri="{FF2B5EF4-FFF2-40B4-BE49-F238E27FC236}">
              <a16:creationId xmlns:a16="http://schemas.microsoft.com/office/drawing/2014/main" id="{170DC9E1-9D89-5D59-5C2A-8FE7F004D415}"/>
            </a:ext>
          </a:extLst>
        </xdr:cNvPr>
        <xdr:cNvSpPr/>
      </xdr:nvSpPr>
      <xdr:spPr>
        <a:xfrm>
          <a:off x="542836" y="459740"/>
          <a:ext cx="1611291" cy="1071292"/>
        </a:xfrm>
        <a:prstGeom prst="rect">
          <a:avLst/>
        </a:prstGeom>
        <a:solidFill>
          <a:schemeClr val="bg2">
            <a:lumMod val="50000"/>
          </a:schemeClr>
        </a:solidFill>
        <a:ln>
          <a:noFill/>
        </a:ln>
        <a:effectLst>
          <a:outerShdw blurRad="127000" dist="38100" dir="2700000" algn="tl"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fld id="{E15145A9-D2E1-481F-A237-A5C3D73B34C6}" type="TxLink">
            <a:rPr lang="en-US" sz="2800" b="1" i="0" u="none" strike="noStrike">
              <a:ln>
                <a:noFill/>
              </a:ln>
              <a:solidFill>
                <a:schemeClr val="bg1"/>
              </a:solidFill>
              <a:latin typeface="Arial"/>
              <a:cs typeface="Arial"/>
            </a:rPr>
            <a:pPr algn="ctr"/>
            <a:t>1000</a:t>
          </a:fld>
          <a:endParaRPr lang="en-IN" sz="2800" b="1">
            <a:ln>
              <a:noFill/>
            </a:ln>
            <a:solidFill>
              <a:schemeClr val="bg1"/>
            </a:solidFill>
          </a:endParaRPr>
        </a:p>
      </xdr:txBody>
    </xdr:sp>
    <xdr:clientData/>
  </xdr:twoCellAnchor>
  <xdr:twoCellAnchor>
    <xdr:from>
      <xdr:col>2</xdr:col>
      <xdr:colOff>554627</xdr:colOff>
      <xdr:row>6</xdr:row>
      <xdr:rowOff>76200</xdr:rowOff>
    </xdr:from>
    <xdr:to>
      <xdr:col>4</xdr:col>
      <xdr:colOff>127907</xdr:colOff>
      <xdr:row>8</xdr:row>
      <xdr:rowOff>7620</xdr:rowOff>
    </xdr:to>
    <xdr:sp macro="" textlink="Pivot!A10">
      <xdr:nvSpPr>
        <xdr:cNvPr id="6" name="TextBox 5">
          <a:extLst>
            <a:ext uri="{FF2B5EF4-FFF2-40B4-BE49-F238E27FC236}">
              <a16:creationId xmlns:a16="http://schemas.microsoft.com/office/drawing/2014/main" id="{D2DCD419-8549-87D7-E4A1-299F83FBD0BF}"/>
            </a:ext>
          </a:extLst>
        </xdr:cNvPr>
        <xdr:cNvSpPr txBox="1"/>
      </xdr:nvSpPr>
      <xdr:spPr>
        <a:xfrm>
          <a:off x="881198" y="1121229"/>
          <a:ext cx="923109" cy="279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3B2300D8-06AA-4D6F-AF7A-11E465721B5F}" type="TxLink">
            <a:rPr lang="en-US" sz="1100" b="0" i="0" u="none" strike="noStrike">
              <a:solidFill>
                <a:schemeClr val="bg1">
                  <a:lumMod val="95000"/>
                </a:schemeClr>
              </a:solidFill>
              <a:latin typeface="Arial"/>
              <a:cs typeface="Arial"/>
            </a:rPr>
            <a:pPr algn="ctr"/>
            <a:t>189</a:t>
          </a:fld>
          <a:endParaRPr lang="en-IN" sz="1100">
            <a:solidFill>
              <a:schemeClr val="bg1">
                <a:lumMod val="95000"/>
              </a:schemeClr>
            </a:solidFill>
          </a:endParaRPr>
        </a:p>
      </xdr:txBody>
    </xdr:sp>
    <xdr:clientData/>
  </xdr:twoCellAnchor>
  <xdr:oneCellAnchor>
    <xdr:from>
      <xdr:col>3</xdr:col>
      <xdr:colOff>7620</xdr:colOff>
      <xdr:row>2</xdr:row>
      <xdr:rowOff>144780</xdr:rowOff>
    </xdr:from>
    <xdr:ext cx="617220" cy="254557"/>
    <xdr:sp macro="" textlink="">
      <xdr:nvSpPr>
        <xdr:cNvPr id="8" name="TextBox 7">
          <a:extLst>
            <a:ext uri="{FF2B5EF4-FFF2-40B4-BE49-F238E27FC236}">
              <a16:creationId xmlns:a16="http://schemas.microsoft.com/office/drawing/2014/main" id="{125B827B-6692-662B-72E4-FA2B9EF0CCC4}"/>
            </a:ext>
          </a:extLst>
        </xdr:cNvPr>
        <xdr:cNvSpPr txBox="1"/>
      </xdr:nvSpPr>
      <xdr:spPr>
        <a:xfrm>
          <a:off x="998220" y="495300"/>
          <a:ext cx="61722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lumMod val="95000"/>
                </a:schemeClr>
              </a:solidFill>
            </a:rPr>
            <a:t>Calls</a:t>
          </a:r>
        </a:p>
      </xdr:txBody>
    </xdr:sp>
    <xdr:clientData/>
  </xdr:oneCellAnchor>
  <xdr:twoCellAnchor editAs="oneCell">
    <xdr:from>
      <xdr:col>2</xdr:col>
      <xdr:colOff>315686</xdr:colOff>
      <xdr:row>3</xdr:row>
      <xdr:rowOff>7621</xdr:rowOff>
    </xdr:from>
    <xdr:to>
      <xdr:col>2</xdr:col>
      <xdr:colOff>506186</xdr:colOff>
      <xdr:row>4</xdr:row>
      <xdr:rowOff>18239</xdr:rowOff>
    </xdr:to>
    <xdr:pic>
      <xdr:nvPicPr>
        <xdr:cNvPr id="9" name="Graphic 8" descr="Receiver with solid fill">
          <a:extLst>
            <a:ext uri="{FF2B5EF4-FFF2-40B4-BE49-F238E27FC236}">
              <a16:creationId xmlns:a16="http://schemas.microsoft.com/office/drawing/2014/main" id="{66E420FA-6D29-4732-9799-8CCDFFBD266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2257" y="530135"/>
          <a:ext cx="190500" cy="184790"/>
        </a:xfrm>
        <a:prstGeom prst="rect">
          <a:avLst/>
        </a:prstGeom>
      </xdr:spPr>
    </xdr:pic>
    <xdr:clientData/>
  </xdr:twoCellAnchor>
  <xdr:oneCellAnchor>
    <xdr:from>
      <xdr:col>3</xdr:col>
      <xdr:colOff>40277</xdr:colOff>
      <xdr:row>2</xdr:row>
      <xdr:rowOff>144780</xdr:rowOff>
    </xdr:from>
    <xdr:ext cx="617220" cy="254557"/>
    <xdr:sp macro="" textlink="">
      <xdr:nvSpPr>
        <xdr:cNvPr id="35" name="TextBox 34">
          <a:extLst>
            <a:ext uri="{FF2B5EF4-FFF2-40B4-BE49-F238E27FC236}">
              <a16:creationId xmlns:a16="http://schemas.microsoft.com/office/drawing/2014/main" id="{B7BE36CE-BD8F-95DB-A731-767025D73AD3}"/>
            </a:ext>
          </a:extLst>
        </xdr:cNvPr>
        <xdr:cNvSpPr txBox="1"/>
      </xdr:nvSpPr>
      <xdr:spPr>
        <a:xfrm>
          <a:off x="1041763" y="493123"/>
          <a:ext cx="61722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endParaRPr lang="en-IN" sz="1100">
            <a:solidFill>
              <a:schemeClr val="bg1">
                <a:lumMod val="95000"/>
              </a:schemeClr>
            </a:solidFill>
          </a:endParaRPr>
        </a:p>
      </xdr:txBody>
    </xdr:sp>
    <xdr:clientData/>
  </xdr:oneCellAnchor>
  <xdr:oneCellAnchor>
    <xdr:from>
      <xdr:col>3</xdr:col>
      <xdr:colOff>51163</xdr:colOff>
      <xdr:row>2</xdr:row>
      <xdr:rowOff>155665</xdr:rowOff>
    </xdr:from>
    <xdr:ext cx="617220" cy="254557"/>
    <xdr:sp macro="" textlink="">
      <xdr:nvSpPr>
        <xdr:cNvPr id="36" name="TextBox 35">
          <a:extLst>
            <a:ext uri="{FF2B5EF4-FFF2-40B4-BE49-F238E27FC236}">
              <a16:creationId xmlns:a16="http://schemas.microsoft.com/office/drawing/2014/main" id="{20850988-275E-D8AC-F4E6-A22684435FE7}"/>
            </a:ext>
          </a:extLst>
        </xdr:cNvPr>
        <xdr:cNvSpPr txBox="1"/>
      </xdr:nvSpPr>
      <xdr:spPr>
        <a:xfrm>
          <a:off x="1052649" y="504008"/>
          <a:ext cx="61722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endParaRPr lang="en-IN" sz="1100">
            <a:solidFill>
              <a:schemeClr val="bg1">
                <a:lumMod val="95000"/>
              </a:schemeClr>
            </a:solidFill>
          </a:endParaRPr>
        </a:p>
      </xdr:txBody>
    </xdr:sp>
    <xdr:clientData/>
  </xdr:oneCellAnchor>
  <xdr:twoCellAnchor>
    <xdr:from>
      <xdr:col>2</xdr:col>
      <xdr:colOff>217716</xdr:colOff>
      <xdr:row>11</xdr:row>
      <xdr:rowOff>725</xdr:rowOff>
    </xdr:from>
    <xdr:to>
      <xdr:col>4</xdr:col>
      <xdr:colOff>487887</xdr:colOff>
      <xdr:row>17</xdr:row>
      <xdr:rowOff>35696</xdr:rowOff>
    </xdr:to>
    <xdr:sp macro="" textlink="Pivot!B5">
      <xdr:nvSpPr>
        <xdr:cNvPr id="39" name="Rectangle 38">
          <a:extLst>
            <a:ext uri="{FF2B5EF4-FFF2-40B4-BE49-F238E27FC236}">
              <a16:creationId xmlns:a16="http://schemas.microsoft.com/office/drawing/2014/main" id="{4FB36F9D-2FBA-92E4-C379-1B30C7BFFE1A}"/>
            </a:ext>
          </a:extLst>
        </xdr:cNvPr>
        <xdr:cNvSpPr/>
      </xdr:nvSpPr>
      <xdr:spPr>
        <a:xfrm>
          <a:off x="542836" y="1900645"/>
          <a:ext cx="1611291" cy="1071291"/>
        </a:xfrm>
        <a:prstGeom prst="rect">
          <a:avLst/>
        </a:prstGeom>
        <a:solidFill>
          <a:schemeClr val="bg2">
            <a:lumMod val="50000"/>
          </a:schemeClr>
        </a:solidFill>
        <a:ln>
          <a:noFill/>
        </a:ln>
        <a:effectLst>
          <a:outerShdw blurRad="127000" dist="38100" dir="2700000" algn="tl"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ctr"/>
          <a:fld id="{25AB5464-7926-46EE-BD35-6CA67359B91C}" type="TxLink">
            <a:rPr lang="en-US" sz="2800" b="1" i="0" u="none" strike="noStrike">
              <a:ln>
                <a:noFill/>
              </a:ln>
              <a:solidFill>
                <a:schemeClr val="bg1"/>
              </a:solidFill>
              <a:latin typeface="Arial"/>
              <a:ea typeface="+mn-ea"/>
              <a:cs typeface="Arial"/>
            </a:rPr>
            <a:pPr marL="0" indent="0" algn="ctr"/>
            <a:t>$96,623</a:t>
          </a:fld>
          <a:endParaRPr lang="en-IN" sz="2800" b="1" i="0" u="none" strike="noStrike">
            <a:ln>
              <a:noFill/>
            </a:ln>
            <a:solidFill>
              <a:schemeClr val="bg1"/>
            </a:solidFill>
            <a:latin typeface="Arial"/>
            <a:ea typeface="+mn-ea"/>
            <a:cs typeface="Arial"/>
          </a:endParaRPr>
        </a:p>
      </xdr:txBody>
    </xdr:sp>
    <xdr:clientData/>
  </xdr:twoCellAnchor>
  <xdr:twoCellAnchor>
    <xdr:from>
      <xdr:col>2</xdr:col>
      <xdr:colOff>554627</xdr:colOff>
      <xdr:row>15</xdr:row>
      <xdr:rowOff>22497</xdr:rowOff>
    </xdr:from>
    <xdr:to>
      <xdr:col>4</xdr:col>
      <xdr:colOff>127907</xdr:colOff>
      <xdr:row>16</xdr:row>
      <xdr:rowOff>128088</xdr:rowOff>
    </xdr:to>
    <xdr:sp macro="" textlink="Pivot!B10">
      <xdr:nvSpPr>
        <xdr:cNvPr id="40" name="TextBox 39">
          <a:extLst>
            <a:ext uri="{FF2B5EF4-FFF2-40B4-BE49-F238E27FC236}">
              <a16:creationId xmlns:a16="http://schemas.microsoft.com/office/drawing/2014/main" id="{14679C3A-13B8-3C33-20D1-E509F1D3A548}"/>
            </a:ext>
          </a:extLst>
        </xdr:cNvPr>
        <xdr:cNvSpPr txBox="1"/>
      </xdr:nvSpPr>
      <xdr:spPr>
        <a:xfrm>
          <a:off x="879747" y="2613297"/>
          <a:ext cx="914400" cy="278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F96D3B03-ADE1-4F7B-825B-628663253944}" type="TxLink">
            <a:rPr lang="en-US" sz="1100" b="0" i="0" u="none" strike="noStrike">
              <a:solidFill>
                <a:schemeClr val="bg1">
                  <a:lumMod val="95000"/>
                </a:schemeClr>
              </a:solidFill>
              <a:latin typeface="Arial"/>
              <a:cs typeface="Arial"/>
            </a:rPr>
            <a:pPr algn="ctr"/>
            <a:t>$18,415</a:t>
          </a:fld>
          <a:endParaRPr lang="en-IN" sz="1100" b="0">
            <a:solidFill>
              <a:schemeClr val="bg1">
                <a:lumMod val="95000"/>
              </a:schemeClr>
            </a:solidFill>
          </a:endParaRPr>
        </a:p>
      </xdr:txBody>
    </xdr:sp>
    <xdr:clientData/>
  </xdr:twoCellAnchor>
  <xdr:oneCellAnchor>
    <xdr:from>
      <xdr:col>2</xdr:col>
      <xdr:colOff>595448</xdr:colOff>
      <xdr:row>11</xdr:row>
      <xdr:rowOff>25763</xdr:rowOff>
    </xdr:from>
    <xdr:ext cx="863237" cy="254557"/>
    <xdr:sp macro="" textlink="">
      <xdr:nvSpPr>
        <xdr:cNvPr id="41" name="TextBox 40">
          <a:extLst>
            <a:ext uri="{FF2B5EF4-FFF2-40B4-BE49-F238E27FC236}">
              <a16:creationId xmlns:a16="http://schemas.microsoft.com/office/drawing/2014/main" id="{E7C5EB6C-F770-8A8E-75FE-60733A0C29CD}"/>
            </a:ext>
          </a:extLst>
        </xdr:cNvPr>
        <xdr:cNvSpPr txBox="1"/>
      </xdr:nvSpPr>
      <xdr:spPr>
        <a:xfrm>
          <a:off x="920568" y="1925683"/>
          <a:ext cx="86323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lumMod val="95000"/>
                </a:schemeClr>
              </a:solidFill>
            </a:rPr>
            <a:t>Amount</a:t>
          </a:r>
        </a:p>
      </xdr:txBody>
    </xdr:sp>
    <xdr:clientData/>
  </xdr:oneCellAnchor>
  <xdr:twoCellAnchor>
    <xdr:from>
      <xdr:col>2</xdr:col>
      <xdr:colOff>217716</xdr:colOff>
      <xdr:row>19</xdr:row>
      <xdr:rowOff>62049</xdr:rowOff>
    </xdr:from>
    <xdr:to>
      <xdr:col>4</xdr:col>
      <xdr:colOff>487887</xdr:colOff>
      <xdr:row>25</xdr:row>
      <xdr:rowOff>97020</xdr:rowOff>
    </xdr:to>
    <xdr:sp macro="" textlink="Pivot!C5">
      <xdr:nvSpPr>
        <xdr:cNvPr id="45" name="Rectangle 44">
          <a:extLst>
            <a:ext uri="{FF2B5EF4-FFF2-40B4-BE49-F238E27FC236}">
              <a16:creationId xmlns:a16="http://schemas.microsoft.com/office/drawing/2014/main" id="{81C55EBE-EDBF-D7A5-35F7-33986352376C}"/>
            </a:ext>
          </a:extLst>
        </xdr:cNvPr>
        <xdr:cNvSpPr/>
      </xdr:nvSpPr>
      <xdr:spPr>
        <a:xfrm>
          <a:off x="542836" y="3343729"/>
          <a:ext cx="1611291" cy="1071291"/>
        </a:xfrm>
        <a:prstGeom prst="rect">
          <a:avLst/>
        </a:prstGeom>
        <a:solidFill>
          <a:schemeClr val="bg2">
            <a:lumMod val="50000"/>
          </a:schemeClr>
        </a:solidFill>
        <a:ln>
          <a:noFill/>
        </a:ln>
        <a:effectLst>
          <a:outerShdw blurRad="127000" dist="38100" dir="2700000" algn="tl"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ctr"/>
          <a:fld id="{ED2F0DBA-BCAA-4A1B-AA01-F476BE98C9DF}" type="TxLink">
            <a:rPr lang="en-US" sz="2800" b="1" i="0" u="none" strike="noStrike">
              <a:ln>
                <a:noFill/>
              </a:ln>
              <a:solidFill>
                <a:schemeClr val="bg1"/>
              </a:solidFill>
              <a:latin typeface="Arial"/>
              <a:ea typeface="+mn-ea"/>
              <a:cs typeface="Arial"/>
            </a:rPr>
            <a:pPr marL="0" indent="0" algn="ctr"/>
            <a:t>89,850</a:t>
          </a:fld>
          <a:endParaRPr lang="en-IN" sz="2800" b="1" i="0" u="none" strike="noStrike">
            <a:ln>
              <a:noFill/>
            </a:ln>
            <a:solidFill>
              <a:schemeClr val="bg1"/>
            </a:solidFill>
            <a:latin typeface="Arial"/>
            <a:ea typeface="+mn-ea"/>
            <a:cs typeface="Arial"/>
          </a:endParaRPr>
        </a:p>
      </xdr:txBody>
    </xdr:sp>
    <xdr:clientData/>
  </xdr:twoCellAnchor>
  <xdr:twoCellAnchor>
    <xdr:from>
      <xdr:col>2</xdr:col>
      <xdr:colOff>532855</xdr:colOff>
      <xdr:row>23</xdr:row>
      <xdr:rowOff>121920</xdr:rowOff>
    </xdr:from>
    <xdr:to>
      <xdr:col>4</xdr:col>
      <xdr:colOff>106135</xdr:colOff>
      <xdr:row>25</xdr:row>
      <xdr:rowOff>53339</xdr:rowOff>
    </xdr:to>
    <xdr:sp macro="" textlink="Pivot!C10">
      <xdr:nvSpPr>
        <xdr:cNvPr id="46" name="TextBox 45">
          <a:extLst>
            <a:ext uri="{FF2B5EF4-FFF2-40B4-BE49-F238E27FC236}">
              <a16:creationId xmlns:a16="http://schemas.microsoft.com/office/drawing/2014/main" id="{45EA0895-2DAE-40E1-F47E-3FC16EE554AB}"/>
            </a:ext>
          </a:extLst>
        </xdr:cNvPr>
        <xdr:cNvSpPr txBox="1"/>
      </xdr:nvSpPr>
      <xdr:spPr>
        <a:xfrm>
          <a:off x="857975" y="4094480"/>
          <a:ext cx="914400" cy="276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indent="0" algn="ctr"/>
          <a:fld id="{91DFAFAA-1D42-4323-9246-2BA13CAC29ED}" type="TxLink">
            <a:rPr lang="en-US" sz="1100" b="0" i="0" u="none" strike="noStrike">
              <a:solidFill>
                <a:schemeClr val="bg1">
                  <a:lumMod val="95000"/>
                </a:schemeClr>
              </a:solidFill>
              <a:latin typeface="Arial"/>
              <a:ea typeface="+mn-ea"/>
              <a:cs typeface="Arial"/>
            </a:rPr>
            <a:pPr marL="0" indent="0" algn="ctr"/>
            <a:t>16,834</a:t>
          </a:fld>
          <a:endParaRPr lang="en-IN" sz="1100" b="0" i="0" u="none" strike="noStrike">
            <a:solidFill>
              <a:schemeClr val="bg1">
                <a:lumMod val="95000"/>
              </a:schemeClr>
            </a:solidFill>
            <a:latin typeface="Arial"/>
            <a:ea typeface="+mn-ea"/>
            <a:cs typeface="Arial"/>
          </a:endParaRPr>
        </a:p>
      </xdr:txBody>
    </xdr:sp>
    <xdr:clientData/>
  </xdr:twoCellAnchor>
  <xdr:oneCellAnchor>
    <xdr:from>
      <xdr:col>2</xdr:col>
      <xdr:colOff>497478</xdr:colOff>
      <xdr:row>19</xdr:row>
      <xdr:rowOff>114300</xdr:rowOff>
    </xdr:from>
    <xdr:ext cx="1113608" cy="254557"/>
    <xdr:sp macro="" textlink="">
      <xdr:nvSpPr>
        <xdr:cNvPr id="47" name="TextBox 46">
          <a:extLst>
            <a:ext uri="{FF2B5EF4-FFF2-40B4-BE49-F238E27FC236}">
              <a16:creationId xmlns:a16="http://schemas.microsoft.com/office/drawing/2014/main" id="{C79981CD-C5BC-765D-9A88-C9539DE709AD}"/>
            </a:ext>
          </a:extLst>
        </xdr:cNvPr>
        <xdr:cNvSpPr txBox="1"/>
      </xdr:nvSpPr>
      <xdr:spPr>
        <a:xfrm>
          <a:off x="822598" y="3395980"/>
          <a:ext cx="1113608"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lumMod val="95000"/>
                </a:schemeClr>
              </a:solidFill>
            </a:rPr>
            <a:t>Call</a:t>
          </a:r>
          <a:r>
            <a:rPr lang="en-IN" sz="1100" baseline="0">
              <a:solidFill>
                <a:schemeClr val="bg1">
                  <a:lumMod val="95000"/>
                </a:schemeClr>
              </a:solidFill>
            </a:rPr>
            <a:t> Duartion</a:t>
          </a:r>
          <a:endParaRPr lang="en-IN" sz="1100">
            <a:solidFill>
              <a:schemeClr val="bg1">
                <a:lumMod val="95000"/>
              </a:schemeClr>
            </a:solidFill>
          </a:endParaRPr>
        </a:p>
      </xdr:txBody>
    </xdr:sp>
    <xdr:clientData/>
  </xdr:oneCellAnchor>
  <xdr:twoCellAnchor>
    <xdr:from>
      <xdr:col>2</xdr:col>
      <xdr:colOff>217716</xdr:colOff>
      <xdr:row>27</xdr:row>
      <xdr:rowOff>107768</xdr:rowOff>
    </xdr:from>
    <xdr:to>
      <xdr:col>4</xdr:col>
      <xdr:colOff>487887</xdr:colOff>
      <xdr:row>33</xdr:row>
      <xdr:rowOff>142740</xdr:rowOff>
    </xdr:to>
    <xdr:sp macro="" textlink="Pivot!D5">
      <xdr:nvSpPr>
        <xdr:cNvPr id="51" name="Rectangle 50">
          <a:extLst>
            <a:ext uri="{FF2B5EF4-FFF2-40B4-BE49-F238E27FC236}">
              <a16:creationId xmlns:a16="http://schemas.microsoft.com/office/drawing/2014/main" id="{BA0AF8AD-1F07-D7D0-D70A-405B2B159985}"/>
            </a:ext>
          </a:extLst>
        </xdr:cNvPr>
        <xdr:cNvSpPr/>
      </xdr:nvSpPr>
      <xdr:spPr>
        <a:xfrm>
          <a:off x="542836" y="4771208"/>
          <a:ext cx="1611291" cy="1071292"/>
        </a:xfrm>
        <a:prstGeom prst="rect">
          <a:avLst/>
        </a:prstGeom>
        <a:solidFill>
          <a:schemeClr val="bg2">
            <a:lumMod val="50000"/>
          </a:schemeClr>
        </a:solidFill>
        <a:ln>
          <a:noFill/>
        </a:ln>
        <a:effectLst>
          <a:outerShdw blurRad="127000" dist="38100" dir="2700000" algn="tl"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ctr"/>
          <a:fld id="{CA0448CF-C8E1-4E1F-82E7-8670F1F2977F}" type="TxLink">
            <a:rPr lang="en-US" sz="2800" b="1" i="0" u="none" strike="noStrike">
              <a:ln>
                <a:noFill/>
              </a:ln>
              <a:solidFill>
                <a:schemeClr val="bg1"/>
              </a:solidFill>
              <a:latin typeface="Arial"/>
              <a:ea typeface="+mn-ea"/>
              <a:cs typeface="Arial"/>
            </a:rPr>
            <a:pPr marL="0" indent="0" algn="ctr"/>
            <a:t>3.9</a:t>
          </a:fld>
          <a:endParaRPr lang="en-IN" sz="2800" b="1" i="0" u="none" strike="noStrike">
            <a:ln>
              <a:noFill/>
            </a:ln>
            <a:solidFill>
              <a:schemeClr val="bg1"/>
            </a:solidFill>
            <a:latin typeface="Arial"/>
            <a:ea typeface="+mn-ea"/>
            <a:cs typeface="Arial"/>
          </a:endParaRPr>
        </a:p>
      </xdr:txBody>
    </xdr:sp>
    <xdr:clientData/>
  </xdr:twoCellAnchor>
  <xdr:twoCellAnchor>
    <xdr:from>
      <xdr:col>2</xdr:col>
      <xdr:colOff>565512</xdr:colOff>
      <xdr:row>31</xdr:row>
      <xdr:rowOff>134983</xdr:rowOff>
    </xdr:from>
    <xdr:to>
      <xdr:col>4</xdr:col>
      <xdr:colOff>138792</xdr:colOff>
      <xdr:row>33</xdr:row>
      <xdr:rowOff>67853</xdr:rowOff>
    </xdr:to>
    <xdr:sp macro="" textlink="Pivot!D10">
      <xdr:nvSpPr>
        <xdr:cNvPr id="52" name="TextBox 51">
          <a:extLst>
            <a:ext uri="{FF2B5EF4-FFF2-40B4-BE49-F238E27FC236}">
              <a16:creationId xmlns:a16="http://schemas.microsoft.com/office/drawing/2014/main" id="{1D4B5CD2-FD91-BAC5-0989-6E8947E16D71}"/>
            </a:ext>
          </a:extLst>
        </xdr:cNvPr>
        <xdr:cNvSpPr txBox="1"/>
      </xdr:nvSpPr>
      <xdr:spPr>
        <a:xfrm>
          <a:off x="890632" y="5489303"/>
          <a:ext cx="914400" cy="278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indent="0" algn="ctr"/>
          <a:fld id="{504EF4C3-76FE-44F0-BA13-E9DCB32A9BE3}" type="TxLink">
            <a:rPr lang="en-US" sz="1100" b="0" i="0" u="none" strike="noStrike">
              <a:solidFill>
                <a:schemeClr val="bg1">
                  <a:lumMod val="95000"/>
                </a:schemeClr>
              </a:solidFill>
              <a:latin typeface="Arial"/>
              <a:ea typeface="+mn-ea"/>
              <a:cs typeface="Arial"/>
            </a:rPr>
            <a:pPr marL="0" indent="0" algn="ctr"/>
            <a:t>3.9</a:t>
          </a:fld>
          <a:endParaRPr lang="en-IN" sz="1100" b="0" i="0" u="none" strike="noStrike">
            <a:solidFill>
              <a:schemeClr val="bg1">
                <a:lumMod val="95000"/>
              </a:schemeClr>
            </a:solidFill>
            <a:latin typeface="Arial"/>
            <a:ea typeface="+mn-ea"/>
            <a:cs typeface="Arial"/>
          </a:endParaRPr>
        </a:p>
      </xdr:txBody>
    </xdr:sp>
    <xdr:clientData/>
  </xdr:twoCellAnchor>
  <xdr:oneCellAnchor>
    <xdr:from>
      <xdr:col>3</xdr:col>
      <xdr:colOff>40277</xdr:colOff>
      <xdr:row>27</xdr:row>
      <xdr:rowOff>138248</xdr:rowOff>
    </xdr:from>
    <xdr:ext cx="617220" cy="254557"/>
    <xdr:sp macro="" textlink="">
      <xdr:nvSpPr>
        <xdr:cNvPr id="53" name="TextBox 52">
          <a:extLst>
            <a:ext uri="{FF2B5EF4-FFF2-40B4-BE49-F238E27FC236}">
              <a16:creationId xmlns:a16="http://schemas.microsoft.com/office/drawing/2014/main" id="{8D4B6B40-8ABC-7BD1-E964-543FC36B598C}"/>
            </a:ext>
          </a:extLst>
        </xdr:cNvPr>
        <xdr:cNvSpPr txBox="1"/>
      </xdr:nvSpPr>
      <xdr:spPr>
        <a:xfrm>
          <a:off x="1035957" y="4801688"/>
          <a:ext cx="61722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lumMod val="95000"/>
                </a:schemeClr>
              </a:solidFill>
            </a:rPr>
            <a:t>Rating</a:t>
          </a:r>
        </a:p>
      </xdr:txBody>
    </xdr:sp>
    <xdr:clientData/>
  </xdr:oneCellAnchor>
  <xdr:twoCellAnchor>
    <xdr:from>
      <xdr:col>2</xdr:col>
      <xdr:colOff>217716</xdr:colOff>
      <xdr:row>35</xdr:row>
      <xdr:rowOff>123734</xdr:rowOff>
    </xdr:from>
    <xdr:to>
      <xdr:col>4</xdr:col>
      <xdr:colOff>487887</xdr:colOff>
      <xdr:row>41</xdr:row>
      <xdr:rowOff>158706</xdr:rowOff>
    </xdr:to>
    <xdr:sp macro="" textlink="Pivot!E5">
      <xdr:nvSpPr>
        <xdr:cNvPr id="57" name="Rectangle 56">
          <a:extLst>
            <a:ext uri="{FF2B5EF4-FFF2-40B4-BE49-F238E27FC236}">
              <a16:creationId xmlns:a16="http://schemas.microsoft.com/office/drawing/2014/main" id="{FF4E3854-6C1D-BCC5-E1B5-AACB6601E855}"/>
            </a:ext>
          </a:extLst>
        </xdr:cNvPr>
        <xdr:cNvSpPr/>
      </xdr:nvSpPr>
      <xdr:spPr>
        <a:xfrm>
          <a:off x="542836" y="6168934"/>
          <a:ext cx="1611291" cy="1071292"/>
        </a:xfrm>
        <a:prstGeom prst="rect">
          <a:avLst/>
        </a:prstGeom>
        <a:solidFill>
          <a:schemeClr val="bg2">
            <a:lumMod val="50000"/>
          </a:schemeClr>
        </a:solidFill>
        <a:ln>
          <a:noFill/>
        </a:ln>
        <a:effectLst>
          <a:outerShdw blurRad="127000" dist="38100" dir="2700000" algn="tl"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indent="0" algn="ctr"/>
          <a:fld id="{CAD45860-6A24-428E-8D15-B8DE0FDBB3D0}" type="TxLink">
            <a:rPr lang="en-US" sz="2800" b="1" i="0" u="none" strike="noStrike">
              <a:ln>
                <a:noFill/>
              </a:ln>
              <a:solidFill>
                <a:schemeClr val="bg1"/>
              </a:solidFill>
              <a:latin typeface="Arial"/>
              <a:ea typeface="+mn-ea"/>
              <a:cs typeface="Arial"/>
            </a:rPr>
            <a:pPr marL="0" indent="0" algn="ctr"/>
            <a:t>307</a:t>
          </a:fld>
          <a:endParaRPr lang="en-IN" sz="2800" b="1" i="0" u="none" strike="noStrike">
            <a:ln>
              <a:noFill/>
            </a:ln>
            <a:solidFill>
              <a:schemeClr val="bg1"/>
            </a:solidFill>
            <a:latin typeface="Arial"/>
            <a:ea typeface="+mn-ea"/>
            <a:cs typeface="Arial"/>
          </a:endParaRPr>
        </a:p>
      </xdr:txBody>
    </xdr:sp>
    <xdr:clientData/>
  </xdr:twoCellAnchor>
  <xdr:twoCellAnchor>
    <xdr:from>
      <xdr:col>2</xdr:col>
      <xdr:colOff>543741</xdr:colOff>
      <xdr:row>40</xdr:row>
      <xdr:rowOff>1</xdr:rowOff>
    </xdr:from>
    <xdr:to>
      <xdr:col>4</xdr:col>
      <xdr:colOff>117021</xdr:colOff>
      <xdr:row>41</xdr:row>
      <xdr:rowOff>107406</xdr:rowOff>
    </xdr:to>
    <xdr:sp macro="" textlink="Pivot!E10">
      <xdr:nvSpPr>
        <xdr:cNvPr id="58" name="TextBox 57">
          <a:extLst>
            <a:ext uri="{FF2B5EF4-FFF2-40B4-BE49-F238E27FC236}">
              <a16:creationId xmlns:a16="http://schemas.microsoft.com/office/drawing/2014/main" id="{1B2A904B-0ED3-0212-8CC3-D7004BE9BF5B}"/>
            </a:ext>
          </a:extLst>
        </xdr:cNvPr>
        <xdr:cNvSpPr txBox="1"/>
      </xdr:nvSpPr>
      <xdr:spPr>
        <a:xfrm>
          <a:off x="868861" y="6908801"/>
          <a:ext cx="914400" cy="280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indent="0" algn="ctr"/>
          <a:fld id="{39A7B685-ED85-46B2-A7BF-B9B00227541E}" type="TxLink">
            <a:rPr lang="en-US" sz="1100" b="0" i="0" u="none" strike="noStrike">
              <a:solidFill>
                <a:schemeClr val="bg1">
                  <a:lumMod val="95000"/>
                </a:schemeClr>
              </a:solidFill>
              <a:latin typeface="Arial"/>
              <a:ea typeface="+mn-ea"/>
              <a:cs typeface="Arial"/>
            </a:rPr>
            <a:pPr marL="0" indent="0" algn="ctr"/>
            <a:t>60</a:t>
          </a:fld>
          <a:endParaRPr lang="en-IN" sz="1100" b="0" i="0" u="none" strike="noStrike">
            <a:solidFill>
              <a:schemeClr val="bg1">
                <a:lumMod val="95000"/>
              </a:schemeClr>
            </a:solidFill>
            <a:latin typeface="Arial"/>
            <a:ea typeface="+mn-ea"/>
            <a:cs typeface="Arial"/>
          </a:endParaRPr>
        </a:p>
      </xdr:txBody>
    </xdr:sp>
    <xdr:clientData/>
  </xdr:twoCellAnchor>
  <xdr:oneCellAnchor>
    <xdr:from>
      <xdr:col>2</xdr:col>
      <xdr:colOff>399506</xdr:colOff>
      <xdr:row>35</xdr:row>
      <xdr:rowOff>165099</xdr:rowOff>
    </xdr:from>
    <xdr:ext cx="1385751" cy="254557"/>
    <xdr:sp macro="" textlink="">
      <xdr:nvSpPr>
        <xdr:cNvPr id="59" name="TextBox 58">
          <a:extLst>
            <a:ext uri="{FF2B5EF4-FFF2-40B4-BE49-F238E27FC236}">
              <a16:creationId xmlns:a16="http://schemas.microsoft.com/office/drawing/2014/main" id="{D760F957-690A-F8EE-85AB-ACC0734500F5}"/>
            </a:ext>
          </a:extLst>
        </xdr:cNvPr>
        <xdr:cNvSpPr txBox="1"/>
      </xdr:nvSpPr>
      <xdr:spPr>
        <a:xfrm>
          <a:off x="724626" y="6210299"/>
          <a:ext cx="138575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lumMod val="95000"/>
                </a:schemeClr>
              </a:solidFill>
            </a:rPr>
            <a:t>Happy</a:t>
          </a:r>
          <a:r>
            <a:rPr lang="en-IN" sz="1100" baseline="0">
              <a:solidFill>
                <a:schemeClr val="bg1">
                  <a:lumMod val="95000"/>
                </a:schemeClr>
              </a:solidFill>
            </a:rPr>
            <a:t> Customers</a:t>
          </a:r>
          <a:endParaRPr lang="en-IN" sz="1100">
            <a:solidFill>
              <a:schemeClr val="bg1">
                <a:lumMod val="95000"/>
              </a:schemeClr>
            </a:solidFill>
          </a:endParaRPr>
        </a:p>
      </xdr:txBody>
    </xdr:sp>
    <xdr:clientData/>
  </xdr:oneCellAnchor>
  <xdr:twoCellAnchor editAs="oneCell">
    <xdr:from>
      <xdr:col>2</xdr:col>
      <xdr:colOff>250373</xdr:colOff>
      <xdr:row>36</xdr:row>
      <xdr:rowOff>16329</xdr:rowOff>
    </xdr:from>
    <xdr:to>
      <xdr:col>2</xdr:col>
      <xdr:colOff>478972</xdr:colOff>
      <xdr:row>37</xdr:row>
      <xdr:rowOff>63759</xdr:rowOff>
    </xdr:to>
    <xdr:pic>
      <xdr:nvPicPr>
        <xdr:cNvPr id="67" name="Graphic 66" descr="Star-struck face outline with solid fill">
          <a:extLst>
            <a:ext uri="{FF2B5EF4-FFF2-40B4-BE49-F238E27FC236}">
              <a16:creationId xmlns:a16="http://schemas.microsoft.com/office/drawing/2014/main" id="{63B4DEC0-C644-45F9-97DA-5FD6B4C7DE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75493" y="6234249"/>
          <a:ext cx="228599" cy="220150"/>
        </a:xfrm>
        <a:prstGeom prst="rect">
          <a:avLst/>
        </a:prstGeom>
      </xdr:spPr>
    </xdr:pic>
    <xdr:clientData/>
  </xdr:twoCellAnchor>
  <xdr:twoCellAnchor editAs="oneCell">
    <xdr:from>
      <xdr:col>2</xdr:col>
      <xdr:colOff>283031</xdr:colOff>
      <xdr:row>19</xdr:row>
      <xdr:rowOff>138250</xdr:rowOff>
    </xdr:from>
    <xdr:to>
      <xdr:col>2</xdr:col>
      <xdr:colOff>489858</xdr:colOff>
      <xdr:row>20</xdr:row>
      <xdr:rowOff>166945</xdr:rowOff>
    </xdr:to>
    <xdr:pic>
      <xdr:nvPicPr>
        <xdr:cNvPr id="68" name="Graphic 67" descr="Hourglass Finished with solid fill">
          <a:extLst>
            <a:ext uri="{FF2B5EF4-FFF2-40B4-BE49-F238E27FC236}">
              <a16:creationId xmlns:a16="http://schemas.microsoft.com/office/drawing/2014/main" id="{6C21EDE2-545C-4590-8C1A-1805069B09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8151" y="3419930"/>
          <a:ext cx="206827" cy="201415"/>
        </a:xfrm>
        <a:prstGeom prst="rect">
          <a:avLst/>
        </a:prstGeom>
      </xdr:spPr>
    </xdr:pic>
    <xdr:clientData/>
  </xdr:twoCellAnchor>
  <xdr:twoCellAnchor editAs="oneCell">
    <xdr:from>
      <xdr:col>2</xdr:col>
      <xdr:colOff>293916</xdr:colOff>
      <xdr:row>11</xdr:row>
      <xdr:rowOff>44268</xdr:rowOff>
    </xdr:from>
    <xdr:to>
      <xdr:col>2</xdr:col>
      <xdr:colOff>531150</xdr:colOff>
      <xdr:row>12</xdr:row>
      <xdr:rowOff>98697</xdr:rowOff>
    </xdr:to>
    <xdr:pic>
      <xdr:nvPicPr>
        <xdr:cNvPr id="69" name="Graphic 68" descr="Shopping cart with solid fill">
          <a:extLst>
            <a:ext uri="{FF2B5EF4-FFF2-40B4-BE49-F238E27FC236}">
              <a16:creationId xmlns:a16="http://schemas.microsoft.com/office/drawing/2014/main" id="{79DE8812-8DE0-4724-BE4E-761245B9DD7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9036" y="1944188"/>
          <a:ext cx="237234" cy="227149"/>
        </a:xfrm>
        <a:prstGeom prst="rect">
          <a:avLst/>
        </a:prstGeom>
      </xdr:spPr>
    </xdr:pic>
    <xdr:clientData/>
  </xdr:twoCellAnchor>
  <xdr:twoCellAnchor editAs="oneCell">
    <xdr:from>
      <xdr:col>2</xdr:col>
      <xdr:colOff>293915</xdr:colOff>
      <xdr:row>27</xdr:row>
      <xdr:rowOff>76564</xdr:rowOff>
    </xdr:from>
    <xdr:to>
      <xdr:col>2</xdr:col>
      <xdr:colOff>609600</xdr:colOff>
      <xdr:row>29</xdr:row>
      <xdr:rowOff>36282</xdr:rowOff>
    </xdr:to>
    <xdr:pic>
      <xdr:nvPicPr>
        <xdr:cNvPr id="70" name="Graphic 69" descr="Rating Star with solid fill">
          <a:extLst>
            <a:ext uri="{FF2B5EF4-FFF2-40B4-BE49-F238E27FC236}">
              <a16:creationId xmlns:a16="http://schemas.microsoft.com/office/drawing/2014/main" id="{50B27048-5C75-4A38-9B44-925B9EFDDDF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619035" y="4740004"/>
          <a:ext cx="315685" cy="305157"/>
        </a:xfrm>
        <a:prstGeom prst="rect">
          <a:avLst/>
        </a:prstGeom>
      </xdr:spPr>
    </xdr:pic>
    <xdr:clientData/>
  </xdr:twoCellAnchor>
  <xdr:twoCellAnchor editAs="oneCell">
    <xdr:from>
      <xdr:col>22</xdr:col>
      <xdr:colOff>286069</xdr:colOff>
      <xdr:row>23</xdr:row>
      <xdr:rowOff>73070</xdr:rowOff>
    </xdr:from>
    <xdr:to>
      <xdr:col>23</xdr:col>
      <xdr:colOff>309792</xdr:colOff>
      <xdr:row>33</xdr:row>
      <xdr:rowOff>54670</xdr:rowOff>
    </xdr:to>
    <mc:AlternateContent xmlns:mc="http://schemas.openxmlformats.org/markup-compatibility/2006" xmlns:a14="http://schemas.microsoft.com/office/drawing/2010/main">
      <mc:Choice Requires="a14">
        <xdr:graphicFrame macro="">
          <xdr:nvGraphicFramePr>
            <xdr:cNvPr id="77" name="Representative 1">
              <a:extLst>
                <a:ext uri="{FF2B5EF4-FFF2-40B4-BE49-F238E27FC236}">
                  <a16:creationId xmlns:a16="http://schemas.microsoft.com/office/drawing/2014/main" id="{8D9BFA87-74F7-4DF7-BAAE-4B15164E0634}"/>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5135776" y="4496387"/>
              <a:ext cx="999455" cy="1747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xdr:row>
      <xdr:rowOff>119743</xdr:rowOff>
    </xdr:from>
    <xdr:to>
      <xdr:col>12</xdr:col>
      <xdr:colOff>572588</xdr:colOff>
      <xdr:row>21</xdr:row>
      <xdr:rowOff>152400</xdr:rowOff>
    </xdr:to>
    <xdr:graphicFrame macro="">
      <xdr:nvGraphicFramePr>
        <xdr:cNvPr id="3" name="Chart 2">
          <a:extLst>
            <a:ext uri="{FF2B5EF4-FFF2-40B4-BE49-F238E27FC236}">
              <a16:creationId xmlns:a16="http://schemas.microsoft.com/office/drawing/2014/main" id="{9C1C5A2E-1F96-49A5-B28C-885F7441F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579120</xdr:colOff>
      <xdr:row>2</xdr:row>
      <xdr:rowOff>132080</xdr:rowOff>
    </xdr:from>
    <xdr:to>
      <xdr:col>20</xdr:col>
      <xdr:colOff>125260</xdr:colOff>
      <xdr:row>21</xdr:row>
      <xdr:rowOff>142240</xdr:rowOff>
    </xdr:to>
    <xdr:graphicFrame macro="">
      <xdr:nvGraphicFramePr>
        <xdr:cNvPr id="5" name="Chart 4">
          <a:extLst>
            <a:ext uri="{FF2B5EF4-FFF2-40B4-BE49-F238E27FC236}">
              <a16:creationId xmlns:a16="http://schemas.microsoft.com/office/drawing/2014/main" id="{A541AE5D-CFF7-4EAE-BA9F-4DD0AA945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528320</xdr:colOff>
      <xdr:row>2</xdr:row>
      <xdr:rowOff>121920</xdr:rowOff>
    </xdr:from>
    <xdr:to>
      <xdr:col>16</xdr:col>
      <xdr:colOff>467360</xdr:colOff>
      <xdr:row>21</xdr:row>
      <xdr:rowOff>152400</xdr:rowOff>
    </xdr:to>
    <xdr:graphicFrame macro="">
      <xdr:nvGraphicFramePr>
        <xdr:cNvPr id="7" name="Chart 6">
          <a:extLst>
            <a:ext uri="{FF2B5EF4-FFF2-40B4-BE49-F238E27FC236}">
              <a16:creationId xmlns:a16="http://schemas.microsoft.com/office/drawing/2014/main" id="{3C3CE3F3-BAC6-4C24-B89C-B70FA1AA0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30480</xdr:colOff>
      <xdr:row>23</xdr:row>
      <xdr:rowOff>10160</xdr:rowOff>
    </xdr:from>
    <xdr:to>
      <xdr:col>9</xdr:col>
      <xdr:colOff>660400</xdr:colOff>
      <xdr:row>41</xdr:row>
      <xdr:rowOff>142240</xdr:rowOff>
    </xdr:to>
    <xdr:graphicFrame macro="">
      <xdr:nvGraphicFramePr>
        <xdr:cNvPr id="4" name="Chart 3">
          <a:extLst>
            <a:ext uri="{FF2B5EF4-FFF2-40B4-BE49-F238E27FC236}">
              <a16:creationId xmlns:a16="http://schemas.microsoft.com/office/drawing/2014/main" id="{417E8ABF-8B7B-4F78-8C92-91D51CEE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215454</xdr:colOff>
      <xdr:row>2</xdr:row>
      <xdr:rowOff>121920</xdr:rowOff>
    </xdr:from>
    <xdr:to>
      <xdr:col>23</xdr:col>
      <xdr:colOff>615863</xdr:colOff>
      <xdr:row>21</xdr:row>
      <xdr:rowOff>132080</xdr:rowOff>
    </xdr:to>
    <xdr:graphicFrame macro="">
      <xdr:nvGraphicFramePr>
        <xdr:cNvPr id="12" name="Chart 11">
          <a:extLst>
            <a:ext uri="{FF2B5EF4-FFF2-40B4-BE49-F238E27FC236}">
              <a16:creationId xmlns:a16="http://schemas.microsoft.com/office/drawing/2014/main" id="{9F3E3991-79DF-4A6B-AEB6-E81260961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22</xdr:col>
          <xdr:colOff>970766</xdr:colOff>
          <xdr:row>35</xdr:row>
          <xdr:rowOff>10437</xdr:rowOff>
        </xdr:from>
        <xdr:to>
          <xdr:col>23</xdr:col>
          <xdr:colOff>605424</xdr:colOff>
          <xdr:row>39</xdr:row>
          <xdr:rowOff>18056</xdr:rowOff>
        </xdr:to>
        <xdr:pic>
          <xdr:nvPicPr>
            <xdr:cNvPr id="15" name="Picture 14">
              <a:extLst>
                <a:ext uri="{FF2B5EF4-FFF2-40B4-BE49-F238E27FC236}">
                  <a16:creationId xmlns:a16="http://schemas.microsoft.com/office/drawing/2014/main" id="{891CDB8A-5B24-D27E-C486-E8E1707DFA79}"/>
                </a:ext>
              </a:extLst>
            </xdr:cNvPr>
            <xdr:cNvPicPr>
              <a:picLocks noChangeAspect="1" noChangeArrowheads="1"/>
              <a:extLst>
                <a:ext uri="{84589F7E-364E-4C9E-8A38-B11213B215E9}">
                  <a14:cameraTool cellRange="Pivot!$E$62:$E$65" spid="_x0000_s3106"/>
                </a:ext>
              </a:extLst>
            </xdr:cNvPicPr>
          </xdr:nvPicPr>
          <xdr:blipFill>
            <a:blip xmlns:r="http://schemas.openxmlformats.org/officeDocument/2006/relationships" r:embed="rId17"/>
            <a:srcRect/>
            <a:stretch>
              <a:fillRect/>
            </a:stretch>
          </xdr:blipFill>
          <xdr:spPr bwMode="auto">
            <a:xfrm>
              <a:off x="15803670" y="6221259"/>
              <a:ext cx="605425" cy="71742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45.730909143516" backgroundQuery="1" createdVersion="8" refreshedVersion="8" minRefreshableVersion="3" recordCount="0" supportSubquery="1" supportAdvancedDrill="1" xr:uid="{D6EFD995-344E-4D31-BB06-6C3E3EAED829}">
  <cacheSource type="external" connectionId="1"/>
  <cacheFields count="5">
    <cacheField name="[Measures].[countcalls]" caption="countcalls" numFmtId="0" hierarchy="17" level="32767"/>
    <cacheField name="[Measures].[TotalAmount]" caption="TotalAmount" numFmtId="0" hierarchy="18" level="32767"/>
    <cacheField name="[Measures].[TotalDuration]" caption="TotalDuration" numFmtId="0" hierarchy="19" level="32767"/>
    <cacheField name="[Measures].[AverageRating]" caption="AverageRating" numFmtId="0" hierarchy="20" level="32767"/>
    <cacheField name="[Measures].[5*Calls]" caption="5*Calls" numFmtId="0" hierarchy="21" level="32767"/>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oneField="1">
      <fieldsUsage count="1">
        <fieldUsage x="0"/>
      </fieldsUsage>
    </cacheHierarchy>
    <cacheHierarchy uniqueName="[Measures].[TotalAmount]" caption="TotalAmount" measure="1" displayFolder="" measureGroup="calls" count="0" oneField="1">
      <fieldsUsage count="1">
        <fieldUsage x="1"/>
      </fieldsUsage>
    </cacheHierarchy>
    <cacheHierarchy uniqueName="[Measures].[TotalDuration]" caption="TotalDuration" measure="1" displayFolder="" measureGroup="calls" count="0" oneField="1">
      <fieldsUsage count="1">
        <fieldUsage x="2"/>
      </fieldsUsage>
    </cacheHierarchy>
    <cacheHierarchy uniqueName="[Measures].[AverageRating]" caption="Average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45.730910300925" backgroundQuery="1" createdVersion="8" refreshedVersion="8" minRefreshableVersion="3" recordCount="0" supportSubquery="1" supportAdvancedDrill="1" xr:uid="{80B7D5AC-8535-4039-B225-03FB259AC244}">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9" level="32767"/>
    <cacheField name="[Measures].[Sum of Purchase Amount]" caption="Sum of Purchase Amount" numFmtId="0" hierarchy="26" level="32767"/>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45.738382754629" backgroundQuery="1" createdVersion="8" refreshedVersion="8" minRefreshableVersion="3" recordCount="0" supportSubquery="1" supportAdvancedDrill="1" xr:uid="{3CB313D1-4661-4AA5-877E-BD7296B9FA22}">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6" level="32767"/>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52.758123148145" backgroundQuery="1" createdVersion="8" refreshedVersion="8" minRefreshableVersion="3" recordCount="0" supportSubquery="1" supportAdvancedDrill="1" xr:uid="{08B32640-D0AB-4CE7-8E20-C02DCA500DB6}">
  <cacheSource type="external" connectionId="1"/>
  <cacheFields count="6">
    <cacheField name="[Measures].[countcalls]" caption="countcalls" numFmtId="0" hierarchy="17" level="32767"/>
    <cacheField name="[Measures].[TotalAmount]" caption="TotalAmount" numFmtId="0" hierarchy="18" level="32767"/>
    <cacheField name="[Measures].[TotalDuration]" caption="TotalDuration" numFmtId="0" hierarchy="19" level="32767"/>
    <cacheField name="[Measures].[AverageRating]" caption="Average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oneField="1">
      <fieldsUsage count="1">
        <fieldUsage x="0"/>
      </fieldsUsage>
    </cacheHierarchy>
    <cacheHierarchy uniqueName="[Measures].[TotalAmount]" caption="TotalAmount" measure="1" displayFolder="" measureGroup="calls" count="0" oneField="1">
      <fieldsUsage count="1">
        <fieldUsage x="1"/>
      </fieldsUsage>
    </cacheHierarchy>
    <cacheHierarchy uniqueName="[Measures].[TotalDuration]" caption="TotalDuration" measure="1" displayFolder="" measureGroup="calls" count="0" oneField="1">
      <fieldsUsage count="1">
        <fieldUsage x="2"/>
      </fieldsUsage>
    </cacheHierarchy>
    <cacheHierarchy uniqueName="[Measures].[AverageRating]" caption="Average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52.758124768516" backgroundQuery="1" createdVersion="8" refreshedVersion="8" minRefreshableVersion="3" recordCount="0" supportSubquery="1" supportAdvancedDrill="1" xr:uid="{FA02E733-60DA-4883-8D5E-B1973F0CA86A}">
  <cacheSource type="external" connectionId="1"/>
  <cacheFields count="5">
    <cacheField name="[Measures].[countcalls]" caption="countcalls" numFmtId="0" hierarchy="17" level="32767"/>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oneField="1">
      <fieldsUsage count="1">
        <fieldUsage x="0"/>
      </fieldsUsage>
    </cacheHierarchy>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52.758125694447" backgroundQuery="1" createdVersion="8" refreshedVersion="8" minRefreshableVersion="3" recordCount="0" supportSubquery="1" supportAdvancedDrill="1" xr:uid="{7A122E8F-89C4-4830-B108-AB3D40956DD6}">
  <cacheSource type="external" connectionId="1"/>
  <cacheFields count="3">
    <cacheField name="[Measures].[countcalls]" caption="countcalls"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oneField="1">
      <fieldsUsage count="1">
        <fieldUsage x="0"/>
      </fieldsUsage>
    </cacheHierarchy>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52.758127083333" backgroundQuery="1" createdVersion="8" refreshedVersion="8" minRefreshableVersion="3" recordCount="0" supportSubquery="1" supportAdvancedDrill="1" xr:uid="{C31A7573-3DC2-46A5-B6C9-D4574AF04AEB}">
  <cacheSource type="external" connectionId="1"/>
  <cacheFields count="3">
    <cacheField name="[Measures].[countcalls]" caption="countcalls"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oneField="1">
      <fieldsUsage count="1">
        <fieldUsage x="0"/>
      </fieldsUsage>
    </cacheHierarchy>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52.758128472226" backgroundQuery="1" createdVersion="8" refreshedVersion="8" minRefreshableVersion="3" recordCount="0" supportSubquery="1" supportAdvancedDrill="1" xr:uid="{17CF9A77-E7A3-4D92-B77D-E0FBD4CD9022}">
  <cacheSource type="external" connectionId="1"/>
  <cacheFields count="1">
    <cacheField name="[calls].[Representative].[Representative]" caption="Representative" numFmtId="0" hierarchy="3" level="1">
      <sharedItems count="1">
        <s v="R01"/>
      </sharedItems>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52.758129398149" backgroundQuery="1" createdVersion="8" refreshedVersion="8" minRefreshableVersion="3" recordCount="0" supportSubquery="1" supportAdvancedDrill="1" xr:uid="{071B6AFA-7A9A-4565-9290-9DE6BBC7FD7F}">
  <cacheSource type="external" connectionId="1"/>
  <cacheFields count="4">
    <cacheField name="[customers].[Gedner].[Gedner]" caption="Gedner" numFmtId="0" hierarchy="13" level="1">
      <sharedItems count="2">
        <s v="Female"/>
        <s v="Male"/>
      </sharedItems>
    </cacheField>
    <cacheField name="[Measures].[Count of Call number]" caption="Count of Call number" numFmtId="0" hierarchy="29" level="32767"/>
    <cacheField name="[customers].[City].[City]" caption="City" numFmtId="0" hierarchy="15" level="1">
      <sharedItems count="3">
        <s v="Cincinnati"/>
        <s v="Cleveland"/>
        <s v="Columbus"/>
      </sharedItems>
    </cacheField>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Maurya" refreshedDate="45945.7308962963" backgroundQuery="1" createdVersion="3" refreshedVersion="8" minRefreshableVersion="3" recordCount="0" supportSubquery="1" supportAdvancedDrill="1" xr:uid="{13AD0D9A-8177-4B41-81DE-374AAA2D74D3}">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calls]" caption="countcalls" measure="1" displayFolder="" measureGroup="calls" count="0"/>
    <cacheHierarchy uniqueName="[Measures].[TotalAmount]" caption="TotalAmount" measure="1" displayFolder="" measureGroup="calls" count="0"/>
    <cacheHierarchy uniqueName="[Measures].[TotalDuration]" caption="TotalDuration" measure="1" displayFolder="" measureGroup="calls" count="0"/>
    <cacheHierarchy uniqueName="[Measures].[AverageRating]" caption="Average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683302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7EA2EC-1F6F-4E4C-A8C8-366C9F08B8F8}" name="SelectedRep" cacheId="18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2:A6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22">
      <pivotArea dataOnly="0" labelOnly="1" fieldPosition="0">
        <references count="1">
          <reference field="0" count="0"/>
        </references>
      </pivotArea>
    </format>
    <format dxfId="21">
      <pivotArea dataOnly="0" labelOnly="1" fieldPosition="0">
        <references count="1">
          <reference field="0" count="0"/>
        </references>
      </pivotArea>
    </format>
  </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45D08-A5EA-4F44-8A7E-53ECDB239993}" name="Summary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E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2E4985-D077-4FB6-A3A7-67F8ABEB1213}" name="RepSummary" cacheId="1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FC9D3B-A54E-4A3D-B3C7-10DC8464AC5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dataFields>
  <formats count="1">
    <format dxfId="23">
      <pivotArea dataOnly="0" labelOnly="1" outline="0" fieldPosition="0">
        <references count="1">
          <reference field="4294967294" count="1">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EC83B1-65FE-4BC9-BBBA-DE427E45A51B}" name="WeeklyCalls" cacheId="1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0:B38" firstHeaderRow="1" firstDataRow="1" firstDataCol="1"/>
  <pivotFields count="3">
    <pivotField dataField="1" subtotalTop="0" showAll="0" defaultSubtotal="0"/>
    <pivotField axis="axisRow" allDrilled="1" subtotalTop="0" showAll="0" sortType="descending" defaultSubtotal="0" defaultAttributeDrillState="1">
      <items count="7">
        <item x="3"/>
        <item x="2"/>
        <item x="0"/>
        <item x="4"/>
        <item x="6"/>
        <item x="5"/>
        <item x="1"/>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8C13B-213A-4394-BDFC-B4FD6867AC14}" name="RepAmount" cacheId="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5">
  <location ref="A85:G10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0" baseItem="0"/>
  </dataFields>
  <formats count="5">
    <format dxfId="28">
      <pivotArea collapsedLevelsAreSubtotals="1" fieldPosition="0">
        <references count="2">
          <reference field="1" count="1" selected="0">
            <x v="0"/>
          </reference>
          <reference field="2" count="4">
            <x v="0"/>
            <x v="1"/>
            <x v="2"/>
            <x v="3"/>
          </reference>
        </references>
      </pivotArea>
    </format>
    <format dxfId="27">
      <pivotArea collapsedLevelsAreSubtotals="1" fieldPosition="0">
        <references count="1">
          <reference field="1" count="1">
            <x v="1"/>
          </reference>
        </references>
      </pivotArea>
    </format>
    <format dxfId="26">
      <pivotArea collapsedLevelsAreSubtotals="1" fieldPosition="0">
        <references count="2">
          <reference field="1" count="1" selected="0">
            <x v="1"/>
          </reference>
          <reference field="2" count="6">
            <x v="4"/>
            <x v="5"/>
            <x v="6"/>
            <x v="7"/>
            <x v="8"/>
            <x v="9"/>
          </reference>
        </references>
      </pivotArea>
    </format>
    <format dxfId="25">
      <pivotArea collapsedLevelsAreSubtotals="1" fieldPosition="0">
        <references count="1">
          <reference field="1" count="1">
            <x v="2"/>
          </reference>
        </references>
      </pivotArea>
    </format>
    <format dxfId="24">
      <pivotArea collapsedLevelsAreSubtotals="1" fieldPosition="0">
        <references count="2">
          <reference field="1" count="1" selected="0">
            <x v="2"/>
          </reference>
          <reference field="2" count="5">
            <x v="10"/>
            <x v="11"/>
            <x v="12"/>
            <x v="13"/>
            <x v="14"/>
          </reference>
        </references>
      </pivotArea>
    </format>
  </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266275-7A85-4444-B634-54E5CBBE115D}" name="CallRatings" cacheId="1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41:B4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C432F6-E966-4EDE-8230-5458C5BD3C0A}" name="GenderTrend" cacheId="1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75:D8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name="Count of Call number" fld="1" subtotal="count" baseField="0" baseItem="0"/>
  </dataFields>
  <chartFormats count="2">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B63510-CB96-4758-8A7F-1F8A1189A7DD}" name="MonthyTrend" cacheId="1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4:C27" firstHeaderRow="0" firstDataRow="1" firstDataCol="1"/>
  <pivotFields count="5">
    <pivotField dataField="1" subtotalTop="0" showAll="0" defaultSubtotal="0"/>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ountcalls2" fld="4" subtotal="count" baseField="0" baseItem="0">
      <extLst>
        <ext xmlns:x14="http://schemas.microsoft.com/office/spreadsheetml/2009/9/main" uri="{E15A36E0-9728-4e99-A89B-3F7291B0FE68}">
          <x14:dataField sourceField="0" uniqueName="[__Xl2].[Measures].[countcalls]"/>
        </ext>
      </extLst>
    </dataField>
  </dataField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5D16997-A8B8-4DC9-8C8F-C0729AA70E0F}" sourceName="[calls].[Representative]">
  <pivotTables>
    <pivotTable tabId="6" name="RepSummary"/>
    <pivotTable tabId="6" name="MonthyTrend"/>
    <pivotTable tabId="6" name="WeeklyCalls"/>
    <pivotTable tabId="6" name="CallRatings"/>
    <pivotTable tabId="6" name="SelectedRep"/>
    <pivotTable tabId="6" name="GenderTrend"/>
  </pivotTables>
  <data>
    <olap pivotCacheId="86833028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B5265EE-2576-4A10-B037-57BBFC2AC1FF}"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A77C6E8-A4C8-41D9-88CB-077857A9304B}" cache="Slicer_Representative" caption="Representativ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42"/>
    <tableColumn id="5" xr3:uid="{5A35565E-8707-4DED-AD15-A0669D67B382}" name="Date of Call" dataDxfId="41"/>
    <tableColumn id="6" xr3:uid="{F2E4F158-B41F-47BC-8DF8-DFCADFEE4E40}" name="Purchase Amount"/>
    <tableColumn id="7" xr3:uid="{04B291B5-47BD-4F78-8FD8-D1551CCA6BD9}" name="Satisfaction Rating"/>
    <tableColumn id="8" xr3:uid="{6E4123C0-0B17-43B8-A142-A1E540CE974C}" name="FY" dataDxfId="40">
      <calculatedColumnFormula>IF(MONTH(calls[[#This Row],[Date of Call]])&lt;=6, YEAR(calls[[#This Row],[Date of Call]]), YEAR(calls[[#This Row],[Date of Call]])+1)</calculatedColumnFormula>
    </tableColumn>
    <tableColumn id="9" xr3:uid="{199FA271-5E9B-46CE-9BC6-2801F92CD17E}" name="Day of week" dataDxfId="39">
      <calculatedColumnFormula>TEXT(calls[[#This Row],[Date of Call]],"DDDD")</calculatedColumnFormula>
    </tableColumn>
    <tableColumn id="10" xr3:uid="{328CDB09-95B8-4D5E-9ED9-EF0D363735A1}" name="Duration Bucket" dataDxfId="3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3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36" headerRowBorderDxfId="35" tableBorderDxfId="34" totalsRowBorderDxfId="33">
  <autoFilter ref="Q3:T18" xr:uid="{27158F51-A707-4171-8A04-81FB0AABCBA5}"/>
  <tableColumns count="4">
    <tableColumn id="1" xr3:uid="{02688061-6A8C-4E23-B7FF-D00CD8B58CAC}" name="Customer ID" dataDxfId="32"/>
    <tableColumn id="2" xr3:uid="{771678B6-DB44-426B-9874-B4E421A440D5}" name="Gedner" dataDxfId="31"/>
    <tableColumn id="3" xr3:uid="{B0D41C62-587E-494D-B49A-603F2C05F8D3}" name="Age" dataDxfId="30"/>
    <tableColumn id="4" xr3:uid="{663F92D6-FE31-4D81-9E01-8D066DDC8A88}" name="City" dataDxfId="2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ustom 2">
      <a:majorFont>
        <a:latin typeface="Arial Black"/>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topLeftCell="H1" zoomScale="115" zoomScaleNormal="115" workbookViewId="0">
      <selection activeCell="T16" sqref="T16"/>
    </sheetView>
  </sheetViews>
  <sheetFormatPr defaultRowHeight="13.8" x14ac:dyDescent="0.25"/>
  <cols>
    <col min="1" max="1" width="2.8984375" customWidth="1"/>
    <col min="2" max="2" width="14.59765625" customWidth="1"/>
    <col min="3" max="3" width="12.796875" customWidth="1"/>
    <col min="4" max="4" width="8.296875" bestFit="1" customWidth="1"/>
    <col min="5" max="5" width="14.8984375" customWidth="1"/>
    <col min="6" max="6" width="16" customWidth="1"/>
    <col min="7" max="7" width="19" customWidth="1"/>
    <col min="8" max="8" width="19.3984375" bestFit="1" customWidth="1"/>
    <col min="9" max="9" width="5.296875" bestFit="1" customWidth="1"/>
    <col min="10" max="12" width="15.3984375" customWidth="1"/>
    <col min="13" max="13" width="10.19921875" customWidth="1"/>
    <col min="14" max="16" width="7.39843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3" sqref="F3"/>
    </sheetView>
  </sheetViews>
  <sheetFormatPr defaultRowHeight="13.8" x14ac:dyDescent="0.25"/>
  <cols>
    <col min="5" max="5" width="10.796875" customWidth="1"/>
    <col min="6" max="6" width="14.09765625" customWidth="1"/>
  </cols>
  <sheetData>
    <row r="2" spans="5:6" x14ac:dyDescent="0.25">
      <c r="E2" t="s">
        <v>1040</v>
      </c>
      <c r="F2" t="s">
        <v>1041</v>
      </c>
    </row>
    <row r="3" spans="5:6" ht="25.5" customHeight="1" x14ac:dyDescent="0.25">
      <c r="E3" t="s">
        <v>11</v>
      </c>
      <c r="F3" t="s">
        <v>1085</v>
      </c>
    </row>
    <row r="4" spans="5:6" ht="25.5" customHeight="1" x14ac:dyDescent="0.25">
      <c r="E4" t="s">
        <v>9</v>
      </c>
      <c r="F4" t="s">
        <v>1086</v>
      </c>
    </row>
    <row r="5" spans="5:6" ht="25.5" customHeight="1" x14ac:dyDescent="0.25">
      <c r="E5" t="s">
        <v>6</v>
      </c>
      <c r="F5" t="s">
        <v>1087</v>
      </c>
    </row>
    <row r="6" spans="5:6" ht="25.5" customHeight="1" x14ac:dyDescent="0.25">
      <c r="E6" t="s">
        <v>13</v>
      </c>
      <c r="F6" t="s">
        <v>1088</v>
      </c>
    </row>
    <row r="7" spans="5:6" ht="25.5" customHeight="1" x14ac:dyDescent="0.25">
      <c r="E7" t="s">
        <v>10</v>
      </c>
      <c r="F7" t="s">
        <v>1089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B413-8CF3-4AA4-AC08-919E90CD81C3}">
  <dimension ref="A3:K104"/>
  <sheetViews>
    <sheetView topLeftCell="A46" workbookViewId="0">
      <selection activeCell="I65" sqref="I65"/>
    </sheetView>
  </sheetViews>
  <sheetFormatPr defaultRowHeight="13.8" x14ac:dyDescent="0.25"/>
  <cols>
    <col min="1" max="1" width="19.59765625" bestFit="1" customWidth="1"/>
    <col min="2" max="2" width="16.09765625" bestFit="1" customWidth="1"/>
    <col min="3" max="3" width="5" bestFit="1" customWidth="1"/>
    <col min="4" max="4" width="11" bestFit="1" customWidth="1"/>
    <col min="5" max="5" width="6.8984375" bestFit="1" customWidth="1"/>
    <col min="6" max="6" width="6.3984375" bestFit="1" customWidth="1"/>
    <col min="7" max="7" width="11.09765625" bestFit="1" customWidth="1"/>
    <col min="8" max="8" width="9.19921875" customWidth="1"/>
    <col min="9" max="9" width="7.3984375" customWidth="1"/>
    <col min="10" max="94" width="2.8984375" bestFit="1" customWidth="1"/>
    <col min="95" max="165" width="3.8984375" bestFit="1" customWidth="1"/>
    <col min="166" max="166" width="11" bestFit="1" customWidth="1"/>
  </cols>
  <sheetData>
    <row r="3" spans="1:5" x14ac:dyDescent="0.25">
      <c r="A3" t="s">
        <v>1099</v>
      </c>
    </row>
    <row r="4" spans="1:5" x14ac:dyDescent="0.25">
      <c r="A4" t="s">
        <v>1042</v>
      </c>
      <c r="B4" t="s">
        <v>1043</v>
      </c>
      <c r="C4" t="s">
        <v>1044</v>
      </c>
      <c r="D4" t="s">
        <v>1045</v>
      </c>
      <c r="E4" t="s">
        <v>1046</v>
      </c>
    </row>
    <row r="5" spans="1:5" x14ac:dyDescent="0.25">
      <c r="A5">
        <v>1000</v>
      </c>
      <c r="B5" s="20">
        <v>96623</v>
      </c>
      <c r="C5" s="21">
        <v>89850</v>
      </c>
      <c r="D5" s="22">
        <v>3.8854000000000033</v>
      </c>
      <c r="E5">
        <v>307</v>
      </c>
    </row>
    <row r="8" spans="1:5" x14ac:dyDescent="0.25">
      <c r="A8" t="s">
        <v>1081</v>
      </c>
    </row>
    <row r="9" spans="1:5" x14ac:dyDescent="0.25">
      <c r="A9" t="s">
        <v>1042</v>
      </c>
      <c r="B9" t="s">
        <v>1043</v>
      </c>
      <c r="C9" t="s">
        <v>1044</v>
      </c>
      <c r="D9" t="s">
        <v>1045</v>
      </c>
      <c r="E9" t="s">
        <v>1046</v>
      </c>
    </row>
    <row r="10" spans="1:5" x14ac:dyDescent="0.25">
      <c r="A10" s="45">
        <v>189</v>
      </c>
      <c r="B10" s="20">
        <v>18415</v>
      </c>
      <c r="C10" s="21">
        <v>16834</v>
      </c>
      <c r="D10" s="22">
        <v>3.9227513227513247</v>
      </c>
      <c r="E10" s="45">
        <v>60</v>
      </c>
    </row>
    <row r="13" spans="1:5" x14ac:dyDescent="0.25">
      <c r="A13" t="s">
        <v>1098</v>
      </c>
    </row>
    <row r="14" spans="1:5" x14ac:dyDescent="0.25">
      <c r="A14" s="24" t="s">
        <v>1047</v>
      </c>
      <c r="B14" t="s">
        <v>1042</v>
      </c>
      <c r="C14" t="s">
        <v>1069</v>
      </c>
    </row>
    <row r="15" spans="1:5" x14ac:dyDescent="0.25">
      <c r="A15" s="25" t="s">
        <v>1049</v>
      </c>
      <c r="B15" s="45">
        <v>16</v>
      </c>
      <c r="C15" s="45">
        <v>16</v>
      </c>
    </row>
    <row r="16" spans="1:5" x14ac:dyDescent="0.25">
      <c r="A16" s="25" t="s">
        <v>1050</v>
      </c>
      <c r="B16" s="45">
        <v>14</v>
      </c>
      <c r="C16" s="45">
        <v>14</v>
      </c>
    </row>
    <row r="17" spans="1:3" x14ac:dyDescent="0.25">
      <c r="A17" s="25" t="s">
        <v>1051</v>
      </c>
      <c r="B17" s="45">
        <v>26</v>
      </c>
      <c r="C17" s="45">
        <v>26</v>
      </c>
    </row>
    <row r="18" spans="1:3" x14ac:dyDescent="0.25">
      <c r="A18" s="25" t="s">
        <v>1052</v>
      </c>
      <c r="B18" s="45">
        <v>29</v>
      </c>
      <c r="C18" s="45">
        <v>29</v>
      </c>
    </row>
    <row r="19" spans="1:3" x14ac:dyDescent="0.25">
      <c r="A19" s="25" t="s">
        <v>1053</v>
      </c>
      <c r="B19" s="45">
        <v>17</v>
      </c>
      <c r="C19" s="45">
        <v>17</v>
      </c>
    </row>
    <row r="20" spans="1:3" x14ac:dyDescent="0.25">
      <c r="A20" s="25" t="s">
        <v>1054</v>
      </c>
      <c r="B20" s="45">
        <v>15</v>
      </c>
      <c r="C20" s="45">
        <v>15</v>
      </c>
    </row>
    <row r="21" spans="1:3" x14ac:dyDescent="0.25">
      <c r="A21" s="25" t="s">
        <v>1055</v>
      </c>
      <c r="B21" s="45">
        <v>15</v>
      </c>
      <c r="C21" s="45">
        <v>15</v>
      </c>
    </row>
    <row r="22" spans="1:3" x14ac:dyDescent="0.25">
      <c r="A22" s="25" t="s">
        <v>1056</v>
      </c>
      <c r="B22" s="45">
        <v>7</v>
      </c>
      <c r="C22" s="45">
        <v>7</v>
      </c>
    </row>
    <row r="23" spans="1:3" x14ac:dyDescent="0.25">
      <c r="A23" s="25" t="s">
        <v>1057</v>
      </c>
      <c r="B23" s="45">
        <v>11</v>
      </c>
      <c r="C23" s="45">
        <v>11</v>
      </c>
    </row>
    <row r="24" spans="1:3" x14ac:dyDescent="0.25">
      <c r="A24" s="25" t="s">
        <v>1058</v>
      </c>
      <c r="B24" s="45">
        <v>24</v>
      </c>
      <c r="C24" s="45">
        <v>24</v>
      </c>
    </row>
    <row r="25" spans="1:3" x14ac:dyDescent="0.25">
      <c r="A25" s="25" t="s">
        <v>1059</v>
      </c>
      <c r="B25" s="45">
        <v>9</v>
      </c>
      <c r="C25" s="45">
        <v>9</v>
      </c>
    </row>
    <row r="26" spans="1:3" x14ac:dyDescent="0.25">
      <c r="A26" s="25" t="s">
        <v>1060</v>
      </c>
      <c r="B26" s="45">
        <v>6</v>
      </c>
      <c r="C26" s="45">
        <v>6</v>
      </c>
    </row>
    <row r="27" spans="1:3" x14ac:dyDescent="0.25">
      <c r="A27" s="25" t="s">
        <v>1048</v>
      </c>
      <c r="B27" s="45">
        <v>189</v>
      </c>
      <c r="C27" s="45">
        <v>189</v>
      </c>
    </row>
    <row r="29" spans="1:3" x14ac:dyDescent="0.25">
      <c r="A29" s="25" t="s">
        <v>1097</v>
      </c>
    </row>
    <row r="30" spans="1:3" x14ac:dyDescent="0.25">
      <c r="A30" s="24" t="s">
        <v>1047</v>
      </c>
      <c r="B30" t="s">
        <v>1042</v>
      </c>
    </row>
    <row r="31" spans="1:3" x14ac:dyDescent="0.25">
      <c r="A31" s="25" t="s">
        <v>1064</v>
      </c>
      <c r="B31" s="45">
        <v>36</v>
      </c>
    </row>
    <row r="32" spans="1:3" x14ac:dyDescent="0.25">
      <c r="A32" s="25" t="s">
        <v>1063</v>
      </c>
      <c r="B32" s="45">
        <v>40</v>
      </c>
    </row>
    <row r="33" spans="1:2" x14ac:dyDescent="0.25">
      <c r="A33" s="25" t="s">
        <v>1061</v>
      </c>
      <c r="B33" s="45">
        <v>24</v>
      </c>
    </row>
    <row r="34" spans="1:2" x14ac:dyDescent="0.25">
      <c r="A34" s="25" t="s">
        <v>1065</v>
      </c>
      <c r="B34" s="45">
        <v>23</v>
      </c>
    </row>
    <row r="35" spans="1:2" x14ac:dyDescent="0.25">
      <c r="A35" s="25" t="s">
        <v>1067</v>
      </c>
      <c r="B35" s="45">
        <v>23</v>
      </c>
    </row>
    <row r="36" spans="1:2" x14ac:dyDescent="0.25">
      <c r="A36" s="25" t="s">
        <v>1066</v>
      </c>
      <c r="B36" s="45">
        <v>13</v>
      </c>
    </row>
    <row r="37" spans="1:2" x14ac:dyDescent="0.25">
      <c r="A37" s="25" t="s">
        <v>1062</v>
      </c>
      <c r="B37" s="45">
        <v>30</v>
      </c>
    </row>
    <row r="38" spans="1:2" x14ac:dyDescent="0.25">
      <c r="A38" s="25" t="s">
        <v>1048</v>
      </c>
      <c r="B38" s="45">
        <v>189</v>
      </c>
    </row>
    <row r="40" spans="1:2" x14ac:dyDescent="0.25">
      <c r="A40" s="25" t="s">
        <v>1068</v>
      </c>
    </row>
    <row r="41" spans="1:2" x14ac:dyDescent="0.25">
      <c r="A41" s="24" t="s">
        <v>1047</v>
      </c>
      <c r="B41" t="s">
        <v>1042</v>
      </c>
    </row>
    <row r="42" spans="1:2" x14ac:dyDescent="0.25">
      <c r="A42" s="25">
        <v>1</v>
      </c>
      <c r="B42" s="45">
        <v>1</v>
      </c>
    </row>
    <row r="43" spans="1:2" x14ac:dyDescent="0.25">
      <c r="A43" s="25">
        <v>2</v>
      </c>
      <c r="B43" s="45">
        <v>9</v>
      </c>
    </row>
    <row r="44" spans="1:2" x14ac:dyDescent="0.25">
      <c r="A44" s="25">
        <v>3</v>
      </c>
      <c r="B44" s="45">
        <v>31</v>
      </c>
    </row>
    <row r="45" spans="1:2" x14ac:dyDescent="0.25">
      <c r="A45" s="25">
        <v>4</v>
      </c>
      <c r="B45" s="45">
        <v>88</v>
      </c>
    </row>
    <row r="46" spans="1:2" x14ac:dyDescent="0.25">
      <c r="A46" s="25">
        <v>5</v>
      </c>
      <c r="B46" s="45">
        <v>60</v>
      </c>
    </row>
    <row r="47" spans="1:2" x14ac:dyDescent="0.25">
      <c r="A47" s="25" t="s">
        <v>1048</v>
      </c>
      <c r="B47" s="45">
        <v>189</v>
      </c>
    </row>
    <row r="50" spans="1:11" x14ac:dyDescent="0.25">
      <c r="A50" t="s">
        <v>1073</v>
      </c>
      <c r="C50" s="25"/>
      <c r="E50" s="53" t="s">
        <v>1079</v>
      </c>
      <c r="F50" s="53"/>
      <c r="G50" s="54"/>
      <c r="H50" s="51" t="s">
        <v>1096</v>
      </c>
      <c r="I50" s="51"/>
      <c r="J50" s="51"/>
      <c r="K50" s="51"/>
    </row>
    <row r="51" spans="1:11" ht="20.399999999999999" customHeight="1" x14ac:dyDescent="0.25">
      <c r="A51" s="24" t="s">
        <v>1047</v>
      </c>
      <c r="B51" t="s">
        <v>1071</v>
      </c>
      <c r="C51" s="44" t="s">
        <v>1072</v>
      </c>
      <c r="E51" s="55" t="s">
        <v>1074</v>
      </c>
      <c r="F51" s="55" t="s">
        <v>1075</v>
      </c>
      <c r="G51" s="56" t="s">
        <v>1076</v>
      </c>
      <c r="H51" s="52" t="s">
        <v>1077</v>
      </c>
      <c r="I51" s="52" t="s">
        <v>1078</v>
      </c>
      <c r="J51" s="52"/>
      <c r="K51" s="52"/>
    </row>
    <row r="52" spans="1:11" x14ac:dyDescent="0.25">
      <c r="A52" s="25" t="s">
        <v>11</v>
      </c>
      <c r="B52">
        <v>189</v>
      </c>
      <c r="C52">
        <v>18415</v>
      </c>
      <c r="E52" s="55" t="str" cm="1">
        <f t="array" ref="E52:G56">A52:C56</f>
        <v>R01</v>
      </c>
      <c r="F52" s="55">
        <v>189</v>
      </c>
      <c r="G52" s="57">
        <v>18415</v>
      </c>
      <c r="H52" s="52">
        <f>IF($A$63=E52,F52,NA())</f>
        <v>189</v>
      </c>
      <c r="I52" s="52">
        <f>IF($A$63=E52,G52,NA())</f>
        <v>18415</v>
      </c>
      <c r="J52" s="52"/>
      <c r="K52" s="52"/>
    </row>
    <row r="53" spans="1:11" x14ac:dyDescent="0.25">
      <c r="A53" s="25" t="s">
        <v>9</v>
      </c>
      <c r="B53">
        <v>218</v>
      </c>
      <c r="C53">
        <v>20581</v>
      </c>
      <c r="E53" s="55" t="str">
        <v>R02</v>
      </c>
      <c r="F53" s="55">
        <v>218</v>
      </c>
      <c r="G53" s="57">
        <v>20581</v>
      </c>
      <c r="H53" s="52" t="e">
        <f t="shared" ref="H53:H56" si="0">IF($A$63=E53,F53,NA())</f>
        <v>#N/A</v>
      </c>
      <c r="I53" s="52" t="e">
        <f t="shared" ref="I53:I56" si="1">IF($A$63=E53,G53,NA())</f>
        <v>#N/A</v>
      </c>
      <c r="J53" s="52"/>
      <c r="K53" s="52"/>
    </row>
    <row r="54" spans="1:11" x14ac:dyDescent="0.25">
      <c r="A54" s="25" t="s">
        <v>6</v>
      </c>
      <c r="B54">
        <v>207</v>
      </c>
      <c r="C54">
        <v>20872</v>
      </c>
      <c r="E54" s="55" t="str">
        <v>R03</v>
      </c>
      <c r="F54" s="55">
        <v>207</v>
      </c>
      <c r="G54" s="57">
        <v>20872</v>
      </c>
      <c r="H54" s="52" t="e">
        <f t="shared" si="0"/>
        <v>#N/A</v>
      </c>
      <c r="I54" s="52" t="e">
        <f t="shared" si="1"/>
        <v>#N/A</v>
      </c>
      <c r="J54" s="52"/>
      <c r="K54" s="52"/>
    </row>
    <row r="55" spans="1:11" x14ac:dyDescent="0.25">
      <c r="A55" s="25" t="s">
        <v>13</v>
      </c>
      <c r="B55">
        <v>186</v>
      </c>
      <c r="C55">
        <v>16651</v>
      </c>
      <c r="E55" s="55" t="str">
        <v>R04</v>
      </c>
      <c r="F55" s="55">
        <v>186</v>
      </c>
      <c r="G55" s="57">
        <v>16651</v>
      </c>
      <c r="H55" s="52" t="e">
        <f t="shared" si="0"/>
        <v>#N/A</v>
      </c>
      <c r="I55" s="52" t="e">
        <f t="shared" si="1"/>
        <v>#N/A</v>
      </c>
      <c r="J55" s="52"/>
      <c r="K55" s="52"/>
    </row>
    <row r="56" spans="1:11" x14ac:dyDescent="0.25">
      <c r="A56" s="25" t="s">
        <v>10</v>
      </c>
      <c r="B56">
        <v>200</v>
      </c>
      <c r="C56">
        <v>20104</v>
      </c>
      <c r="E56" s="55" t="str">
        <v>R05</v>
      </c>
      <c r="F56" s="55">
        <v>200</v>
      </c>
      <c r="G56" s="57">
        <v>20104</v>
      </c>
      <c r="H56" s="52" t="e">
        <f t="shared" si="0"/>
        <v>#N/A</v>
      </c>
      <c r="I56" s="52" t="e">
        <f t="shared" si="1"/>
        <v>#N/A</v>
      </c>
      <c r="J56" s="52"/>
      <c r="K56" s="52"/>
    </row>
    <row r="57" spans="1:11" x14ac:dyDescent="0.25">
      <c r="A57" s="25" t="s">
        <v>1048</v>
      </c>
      <c r="B57">
        <v>1000</v>
      </c>
      <c r="C57">
        <v>96623</v>
      </c>
    </row>
    <row r="60" spans="1:11" x14ac:dyDescent="0.25">
      <c r="D60" s="46"/>
      <c r="E60" s="46"/>
    </row>
    <row r="61" spans="1:11" x14ac:dyDescent="0.25">
      <c r="A61" s="25" t="s">
        <v>1070</v>
      </c>
      <c r="D61" s="46" t="s">
        <v>1081</v>
      </c>
      <c r="E61" s="46"/>
    </row>
    <row r="62" spans="1:11" x14ac:dyDescent="0.25">
      <c r="A62" s="24" t="s">
        <v>1047</v>
      </c>
      <c r="D62" s="47" t="s">
        <v>1082</v>
      </c>
      <c r="E62" s="48" t="str">
        <f>_xlfn.XLOOKUP(A63,Assets!E3:E7,Assets!F3:F7)</f>
        <v>James</v>
      </c>
    </row>
    <row r="63" spans="1:11" x14ac:dyDescent="0.25">
      <c r="A63" s="43" t="s">
        <v>11</v>
      </c>
      <c r="D63" s="46" t="s">
        <v>1100</v>
      </c>
      <c r="E63" s="49">
        <f>A10/A5</f>
        <v>0.189</v>
      </c>
    </row>
    <row r="64" spans="1:11" x14ac:dyDescent="0.25">
      <c r="D64" s="46" t="s">
        <v>1083</v>
      </c>
      <c r="E64" s="50">
        <f>_xlfn.RANK.AVG(A10,B52:B56)</f>
        <v>4</v>
      </c>
    </row>
    <row r="65" spans="1:5" x14ac:dyDescent="0.25">
      <c r="D65" s="46" t="s">
        <v>1084</v>
      </c>
      <c r="E65" s="50">
        <f>_xlfn.RANK.AVG(B10,C52:C56)</f>
        <v>4</v>
      </c>
    </row>
    <row r="73" spans="1:5" x14ac:dyDescent="0.25">
      <c r="A73" t="s">
        <v>1095</v>
      </c>
    </row>
    <row r="75" spans="1:5" x14ac:dyDescent="0.25">
      <c r="A75" s="24" t="s">
        <v>1071</v>
      </c>
      <c r="B75" s="24" t="s">
        <v>1080</v>
      </c>
    </row>
    <row r="76" spans="1:5" x14ac:dyDescent="0.25">
      <c r="A76" s="24" t="s">
        <v>1047</v>
      </c>
      <c r="B76" t="s">
        <v>999</v>
      </c>
      <c r="C76" t="s">
        <v>998</v>
      </c>
      <c r="D76" t="s">
        <v>1048</v>
      </c>
    </row>
    <row r="77" spans="1:5" x14ac:dyDescent="0.25">
      <c r="A77" s="25" t="s">
        <v>1002</v>
      </c>
      <c r="B77" s="45">
        <v>30</v>
      </c>
      <c r="C77" s="45">
        <v>26</v>
      </c>
      <c r="D77" s="45">
        <v>56</v>
      </c>
    </row>
    <row r="78" spans="1:5" x14ac:dyDescent="0.25">
      <c r="A78" s="25" t="s">
        <v>1001</v>
      </c>
      <c r="B78" s="45">
        <v>57</v>
      </c>
      <c r="C78" s="45">
        <v>13</v>
      </c>
      <c r="D78" s="45">
        <v>70</v>
      </c>
    </row>
    <row r="79" spans="1:5" x14ac:dyDescent="0.25">
      <c r="A79" s="25" t="s">
        <v>1000</v>
      </c>
      <c r="B79" s="45">
        <v>29</v>
      </c>
      <c r="C79" s="45">
        <v>34</v>
      </c>
      <c r="D79" s="45">
        <v>63</v>
      </c>
    </row>
    <row r="80" spans="1:5" x14ac:dyDescent="0.25">
      <c r="A80" s="25" t="s">
        <v>1048</v>
      </c>
      <c r="B80" s="45">
        <v>116</v>
      </c>
      <c r="C80" s="45">
        <v>73</v>
      </c>
      <c r="D80" s="45">
        <v>189</v>
      </c>
    </row>
    <row r="85" spans="1:7" x14ac:dyDescent="0.25">
      <c r="A85" s="24" t="s">
        <v>1072</v>
      </c>
      <c r="B85" s="24" t="s">
        <v>1080</v>
      </c>
    </row>
    <row r="86" spans="1:7" x14ac:dyDescent="0.25">
      <c r="A86" s="24" t="s">
        <v>1047</v>
      </c>
      <c r="B86" t="s">
        <v>11</v>
      </c>
      <c r="C86" t="s">
        <v>9</v>
      </c>
      <c r="D86" t="s">
        <v>6</v>
      </c>
      <c r="E86" t="s">
        <v>13</v>
      </c>
      <c r="F86" t="s">
        <v>10</v>
      </c>
      <c r="G86" t="s">
        <v>1048</v>
      </c>
    </row>
    <row r="87" spans="1:7" x14ac:dyDescent="0.25">
      <c r="A87" s="25" t="s">
        <v>1002</v>
      </c>
    </row>
    <row r="88" spans="1:7" x14ac:dyDescent="0.25">
      <c r="A88" s="26" t="s">
        <v>20</v>
      </c>
      <c r="B88" s="27">
        <v>891</v>
      </c>
      <c r="C88" s="27">
        <v>1332</v>
      </c>
      <c r="D88" s="27">
        <v>1282</v>
      </c>
      <c r="E88" s="27">
        <v>739</v>
      </c>
      <c r="F88" s="27">
        <v>560</v>
      </c>
      <c r="G88" s="27">
        <v>4804</v>
      </c>
    </row>
    <row r="89" spans="1:7" x14ac:dyDescent="0.25">
      <c r="A89" s="26" t="s">
        <v>12</v>
      </c>
      <c r="B89" s="27">
        <v>1991</v>
      </c>
      <c r="C89" s="27">
        <v>1886</v>
      </c>
      <c r="D89" s="27">
        <v>1206</v>
      </c>
      <c r="E89" s="27">
        <v>884</v>
      </c>
      <c r="F89" s="27">
        <v>1722</v>
      </c>
      <c r="G89" s="27">
        <v>7689</v>
      </c>
    </row>
    <row r="90" spans="1:7" x14ac:dyDescent="0.25">
      <c r="A90" s="26" t="s">
        <v>8</v>
      </c>
      <c r="B90" s="27">
        <v>1163</v>
      </c>
      <c r="C90" s="27">
        <v>1180</v>
      </c>
      <c r="D90" s="27">
        <v>1616</v>
      </c>
      <c r="E90" s="27">
        <v>1043</v>
      </c>
      <c r="F90" s="27">
        <v>1747</v>
      </c>
      <c r="G90" s="27">
        <v>6749</v>
      </c>
    </row>
    <row r="91" spans="1:7" x14ac:dyDescent="0.25">
      <c r="A91" s="26" t="s">
        <v>16</v>
      </c>
      <c r="B91" s="27">
        <v>1438</v>
      </c>
      <c r="C91" s="27">
        <v>1616</v>
      </c>
      <c r="D91" s="27">
        <v>866</v>
      </c>
      <c r="E91" s="27">
        <v>829</v>
      </c>
      <c r="F91" s="27">
        <v>2070</v>
      </c>
      <c r="G91" s="27">
        <v>6819</v>
      </c>
    </row>
    <row r="92" spans="1:7" x14ac:dyDescent="0.25">
      <c r="A92" s="25" t="s">
        <v>1001</v>
      </c>
      <c r="B92" s="27"/>
      <c r="C92" s="27"/>
      <c r="D92" s="27"/>
      <c r="E92" s="27"/>
      <c r="F92" s="27"/>
      <c r="G92" s="27"/>
    </row>
    <row r="93" spans="1:7" x14ac:dyDescent="0.25">
      <c r="A93" s="26" t="s">
        <v>24</v>
      </c>
      <c r="B93" s="27">
        <v>1233</v>
      </c>
      <c r="C93" s="27">
        <v>223</v>
      </c>
      <c r="D93" s="27">
        <v>1680</v>
      </c>
      <c r="E93" s="27">
        <v>990</v>
      </c>
      <c r="F93" s="27">
        <v>1508</v>
      </c>
      <c r="G93" s="27">
        <v>5634</v>
      </c>
    </row>
    <row r="94" spans="1:7" x14ac:dyDescent="0.25">
      <c r="A94" s="26" t="s">
        <v>15</v>
      </c>
      <c r="B94" s="27">
        <v>1598</v>
      </c>
      <c r="C94" s="27">
        <v>1907</v>
      </c>
      <c r="D94" s="27">
        <v>869</v>
      </c>
      <c r="E94" s="27">
        <v>1426</v>
      </c>
      <c r="F94" s="27">
        <v>1416</v>
      </c>
      <c r="G94" s="27">
        <v>7216</v>
      </c>
    </row>
    <row r="95" spans="1:7" x14ac:dyDescent="0.25">
      <c r="A95" s="26" t="s">
        <v>5</v>
      </c>
      <c r="B95" s="27">
        <v>900</v>
      </c>
      <c r="C95" s="27">
        <v>1016</v>
      </c>
      <c r="D95" s="27">
        <v>960</v>
      </c>
      <c r="E95" s="27">
        <v>940</v>
      </c>
      <c r="F95" s="27">
        <v>1193</v>
      </c>
      <c r="G95" s="27">
        <v>5009</v>
      </c>
    </row>
    <row r="96" spans="1:7" x14ac:dyDescent="0.25">
      <c r="A96" s="26" t="s">
        <v>18</v>
      </c>
      <c r="B96" s="27">
        <v>900</v>
      </c>
      <c r="C96" s="27">
        <v>1470</v>
      </c>
      <c r="D96" s="27">
        <v>1617</v>
      </c>
      <c r="E96" s="27">
        <v>1314</v>
      </c>
      <c r="F96" s="27">
        <v>941</v>
      </c>
      <c r="G96" s="27">
        <v>6242</v>
      </c>
    </row>
    <row r="97" spans="1:7" x14ac:dyDescent="0.25">
      <c r="A97" s="26" t="s">
        <v>14</v>
      </c>
      <c r="B97" s="27">
        <v>1255</v>
      </c>
      <c r="C97" s="27">
        <v>516</v>
      </c>
      <c r="D97" s="27">
        <v>1874</v>
      </c>
      <c r="E97" s="27">
        <v>1863</v>
      </c>
      <c r="F97" s="27">
        <v>1722</v>
      </c>
      <c r="G97" s="27">
        <v>7230</v>
      </c>
    </row>
    <row r="98" spans="1:7" x14ac:dyDescent="0.25">
      <c r="A98" s="26" t="s">
        <v>19</v>
      </c>
      <c r="B98" s="27">
        <v>1138</v>
      </c>
      <c r="C98" s="27">
        <v>1898</v>
      </c>
      <c r="D98" s="27">
        <v>1482</v>
      </c>
      <c r="E98" s="27">
        <v>846</v>
      </c>
      <c r="F98" s="27">
        <v>1154</v>
      </c>
      <c r="G98" s="27">
        <v>6518</v>
      </c>
    </row>
    <row r="99" spans="1:7" x14ac:dyDescent="0.25">
      <c r="A99" s="25" t="s">
        <v>1000</v>
      </c>
      <c r="B99" s="27"/>
      <c r="C99" s="27"/>
      <c r="D99" s="27"/>
      <c r="E99" s="27"/>
      <c r="F99" s="27"/>
      <c r="G99" s="27"/>
    </row>
    <row r="100" spans="1:7" x14ac:dyDescent="0.25">
      <c r="A100" s="26" t="s">
        <v>17</v>
      </c>
      <c r="B100" s="27">
        <v>1655</v>
      </c>
      <c r="C100" s="27">
        <v>805</v>
      </c>
      <c r="D100" s="27">
        <v>2263</v>
      </c>
      <c r="E100" s="27">
        <v>987</v>
      </c>
      <c r="F100" s="27">
        <v>1075</v>
      </c>
      <c r="G100" s="27">
        <v>6785</v>
      </c>
    </row>
    <row r="101" spans="1:7" x14ac:dyDescent="0.25">
      <c r="A101" s="26" t="s">
        <v>23</v>
      </c>
      <c r="B101" s="27">
        <v>1104</v>
      </c>
      <c r="C101" s="27">
        <v>2280</v>
      </c>
      <c r="D101" s="27">
        <v>1445</v>
      </c>
      <c r="E101" s="27">
        <v>1722</v>
      </c>
      <c r="F101" s="27">
        <v>1196</v>
      </c>
      <c r="G101" s="27">
        <v>7747</v>
      </c>
    </row>
    <row r="102" spans="1:7" x14ac:dyDescent="0.25">
      <c r="A102" s="26" t="s">
        <v>7</v>
      </c>
      <c r="B102" s="27">
        <v>372</v>
      </c>
      <c r="C102" s="27">
        <v>1818</v>
      </c>
      <c r="D102" s="27">
        <v>1346</v>
      </c>
      <c r="E102" s="27">
        <v>1156</v>
      </c>
      <c r="F102" s="27">
        <v>1484</v>
      </c>
      <c r="G102" s="27">
        <v>6176</v>
      </c>
    </row>
    <row r="103" spans="1:7" x14ac:dyDescent="0.25">
      <c r="A103" s="26" t="s">
        <v>22</v>
      </c>
      <c r="B103" s="27">
        <v>1415</v>
      </c>
      <c r="C103" s="27">
        <v>1271</v>
      </c>
      <c r="D103" s="27">
        <v>1214</v>
      </c>
      <c r="E103" s="27">
        <v>1135</v>
      </c>
      <c r="F103" s="27">
        <v>1566</v>
      </c>
      <c r="G103" s="27">
        <v>6601</v>
      </c>
    </row>
    <row r="104" spans="1:7" x14ac:dyDescent="0.25">
      <c r="A104" s="26" t="s">
        <v>21</v>
      </c>
      <c r="B104" s="27">
        <v>1362</v>
      </c>
      <c r="C104" s="27">
        <v>1363</v>
      </c>
      <c r="D104" s="27">
        <v>1152</v>
      </c>
      <c r="E104" s="27">
        <v>777</v>
      </c>
      <c r="F104" s="27">
        <v>750</v>
      </c>
      <c r="G104" s="27">
        <v>5404</v>
      </c>
    </row>
  </sheetData>
  <mergeCells count="2">
    <mergeCell ref="E50:G50"/>
    <mergeCell ref="H50:K50"/>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9407D-682C-4E94-8DFE-1E35276C4476}">
  <dimension ref="A1:AC46"/>
  <sheetViews>
    <sheetView topLeftCell="A3" zoomScale="82" zoomScaleNormal="82" workbookViewId="0">
      <selection activeCell="W11" sqref="W11"/>
    </sheetView>
  </sheetViews>
  <sheetFormatPr defaultRowHeight="13.8" x14ac:dyDescent="0.25"/>
  <cols>
    <col min="1" max="2" width="2.09765625" customWidth="1"/>
    <col min="16" max="16" width="12.796875" customWidth="1"/>
    <col min="17" max="20" width="10.296875" customWidth="1"/>
    <col min="21" max="21" width="10.69921875" customWidth="1"/>
    <col min="22" max="22" width="12.09765625" customWidth="1"/>
    <col min="23" max="23" width="12.796875" customWidth="1"/>
    <col min="24" max="24" width="8" customWidth="1"/>
  </cols>
  <sheetData>
    <row r="1" spans="1:29" ht="42.6" customHeight="1" x14ac:dyDescent="0.45">
      <c r="A1" s="23"/>
      <c r="B1" s="23"/>
      <c r="C1" s="41" t="s">
        <v>1094</v>
      </c>
      <c r="D1" s="23"/>
      <c r="E1" s="23"/>
      <c r="F1" s="23"/>
      <c r="G1" s="23"/>
      <c r="H1" s="23"/>
      <c r="I1" s="23"/>
      <c r="J1" s="23"/>
      <c r="K1" s="23"/>
      <c r="L1" s="23"/>
      <c r="M1" s="23"/>
      <c r="N1" s="23"/>
      <c r="O1" s="23"/>
      <c r="P1" s="23"/>
      <c r="Q1" s="23"/>
      <c r="R1" s="23"/>
      <c r="S1" s="23"/>
      <c r="T1" s="23"/>
      <c r="U1" s="23"/>
      <c r="V1" s="23"/>
      <c r="W1" s="23"/>
      <c r="X1" s="23"/>
      <c r="Y1" s="23"/>
      <c r="Z1" s="42"/>
      <c r="AA1" s="42"/>
      <c r="AB1" s="42"/>
      <c r="AC1" s="42"/>
    </row>
    <row r="2" spans="1:29" x14ac:dyDescent="0.25">
      <c r="A2" s="23"/>
      <c r="B2" s="23"/>
      <c r="C2" s="23"/>
      <c r="D2" s="23"/>
      <c r="E2" s="23"/>
      <c r="F2" s="23"/>
      <c r="G2" s="23"/>
      <c r="H2" s="23"/>
      <c r="I2" s="23"/>
      <c r="J2" s="23"/>
      <c r="K2" s="23"/>
      <c r="L2" s="23"/>
      <c r="M2" s="23"/>
      <c r="N2" s="23"/>
      <c r="O2" s="23"/>
      <c r="P2" s="23"/>
      <c r="Q2" s="23"/>
      <c r="R2" s="23"/>
      <c r="S2" s="23"/>
      <c r="T2" s="23"/>
      <c r="U2" s="23"/>
      <c r="V2" s="23"/>
      <c r="W2" s="23"/>
      <c r="X2" s="23"/>
      <c r="Y2" s="23"/>
      <c r="Z2" s="42"/>
      <c r="AA2" s="42"/>
      <c r="AB2" s="42"/>
      <c r="AC2" s="42"/>
    </row>
    <row r="3" spans="1:29" x14ac:dyDescent="0.25">
      <c r="A3" s="23"/>
      <c r="B3" s="23"/>
      <c r="C3" s="23"/>
      <c r="D3" s="23"/>
      <c r="E3" s="23"/>
      <c r="F3" s="23"/>
      <c r="G3" s="23"/>
      <c r="H3" s="23"/>
      <c r="I3" s="23"/>
      <c r="J3" s="23"/>
      <c r="K3" s="23"/>
      <c r="L3" s="23"/>
      <c r="M3" s="23"/>
      <c r="N3" s="23"/>
      <c r="O3" s="23"/>
      <c r="P3" s="23"/>
      <c r="Q3" s="23"/>
      <c r="R3" s="23"/>
      <c r="S3" s="23"/>
      <c r="T3" s="23"/>
      <c r="U3" s="23"/>
      <c r="V3" s="23"/>
      <c r="W3" s="23"/>
      <c r="X3" s="23"/>
      <c r="Y3" s="23"/>
      <c r="Z3" s="42"/>
      <c r="AA3" s="42"/>
      <c r="AB3" s="42"/>
      <c r="AC3" s="42"/>
    </row>
    <row r="4" spans="1:29" x14ac:dyDescent="0.25">
      <c r="A4" s="23"/>
      <c r="B4" s="23"/>
      <c r="C4" s="23"/>
      <c r="D4" s="23"/>
      <c r="E4" s="23"/>
      <c r="F4" s="23"/>
      <c r="G4" s="23"/>
      <c r="H4" s="23"/>
      <c r="I4" s="23"/>
      <c r="J4" s="23"/>
      <c r="K4" s="23"/>
      <c r="L4" s="23"/>
      <c r="M4" s="23"/>
      <c r="N4" s="23"/>
      <c r="O4" s="23"/>
      <c r="P4" s="23"/>
      <c r="Q4" s="23"/>
      <c r="R4" s="23"/>
      <c r="S4" s="23"/>
      <c r="T4" s="23"/>
      <c r="U4" s="23"/>
      <c r="V4" s="23"/>
      <c r="W4" s="23"/>
      <c r="X4" s="23"/>
      <c r="Y4" s="23"/>
      <c r="Z4" s="42"/>
      <c r="AA4" s="42"/>
      <c r="AB4" s="42"/>
      <c r="AC4" s="42"/>
    </row>
    <row r="5" spans="1:29" x14ac:dyDescent="0.25">
      <c r="A5" s="23"/>
      <c r="B5" s="23"/>
      <c r="C5" s="23"/>
      <c r="D5" s="23"/>
      <c r="E5" s="23"/>
      <c r="F5" s="23"/>
      <c r="G5" s="23"/>
      <c r="H5" s="23"/>
      <c r="I5" s="23"/>
      <c r="J5" s="23"/>
      <c r="K5" s="23"/>
      <c r="L5" s="23"/>
      <c r="M5" s="23"/>
      <c r="N5" s="23"/>
      <c r="O5" s="23"/>
      <c r="P5" s="23"/>
      <c r="Q5" s="23"/>
      <c r="R5" s="23"/>
      <c r="S5" s="23"/>
      <c r="T5" s="23"/>
      <c r="U5" s="23"/>
      <c r="V5" s="23"/>
      <c r="W5" s="23"/>
      <c r="X5" s="23"/>
      <c r="Y5" s="23"/>
      <c r="Z5" s="42"/>
      <c r="AA5" s="42"/>
      <c r="AB5" s="42"/>
      <c r="AC5" s="42"/>
    </row>
    <row r="6" spans="1:29" x14ac:dyDescent="0.25">
      <c r="A6" s="23"/>
      <c r="B6" s="23"/>
      <c r="C6" s="23"/>
      <c r="D6" s="23"/>
      <c r="E6" s="23"/>
      <c r="F6" s="23"/>
      <c r="G6" s="23"/>
      <c r="H6" s="23"/>
      <c r="I6" s="23"/>
      <c r="J6" s="23"/>
      <c r="K6" s="23"/>
      <c r="L6" s="23"/>
      <c r="M6" s="23"/>
      <c r="N6" s="23"/>
      <c r="O6" s="23"/>
      <c r="P6" s="23"/>
      <c r="Q6" s="23"/>
      <c r="R6" s="23"/>
      <c r="S6" s="23"/>
      <c r="T6" s="23"/>
      <c r="U6" s="23"/>
      <c r="V6" s="23"/>
      <c r="W6" s="23"/>
      <c r="X6" s="23"/>
      <c r="Y6" s="23"/>
      <c r="Z6" s="42"/>
      <c r="AA6" s="42"/>
      <c r="AB6" s="42"/>
      <c r="AC6" s="42"/>
    </row>
    <row r="7" spans="1:29" x14ac:dyDescent="0.25">
      <c r="A7" s="23"/>
      <c r="B7" s="23"/>
      <c r="C7" s="23"/>
      <c r="D7" s="23"/>
      <c r="E7" s="23"/>
      <c r="F7" s="23"/>
      <c r="G7" s="23"/>
      <c r="H7" s="23"/>
      <c r="I7" s="23"/>
      <c r="J7" s="23"/>
      <c r="K7" s="23"/>
      <c r="L7" s="23"/>
      <c r="M7" s="23"/>
      <c r="N7" s="23"/>
      <c r="O7" s="23"/>
      <c r="P7" s="23"/>
      <c r="Q7" s="23"/>
      <c r="R7" s="23"/>
      <c r="S7" s="23"/>
      <c r="T7" s="23"/>
      <c r="U7" s="23"/>
      <c r="V7" s="23"/>
      <c r="W7" s="23"/>
      <c r="X7" s="23"/>
      <c r="Y7" s="23"/>
      <c r="Z7" s="42"/>
      <c r="AA7" s="42"/>
      <c r="AB7" s="42"/>
      <c r="AC7" s="42"/>
    </row>
    <row r="8" spans="1:29" x14ac:dyDescent="0.25">
      <c r="A8" s="23"/>
      <c r="B8" s="23"/>
      <c r="C8" s="23"/>
      <c r="D8" s="23"/>
      <c r="E8" s="23"/>
      <c r="F8" s="23"/>
      <c r="G8" s="23"/>
      <c r="H8" s="23"/>
      <c r="I8" s="23"/>
      <c r="J8" s="23"/>
      <c r="K8" s="23"/>
      <c r="L8" s="23"/>
      <c r="M8" s="23"/>
      <c r="N8" s="23"/>
      <c r="O8" s="23"/>
      <c r="P8" s="23"/>
      <c r="Q8" s="23"/>
      <c r="R8" s="23"/>
      <c r="S8" s="23"/>
      <c r="T8" s="23"/>
      <c r="U8" s="23"/>
      <c r="V8" s="23"/>
      <c r="W8" s="23"/>
      <c r="X8" s="23"/>
      <c r="Y8" s="23"/>
      <c r="Z8" s="42"/>
      <c r="AA8" s="42"/>
      <c r="AB8" s="42"/>
      <c r="AC8" s="42"/>
    </row>
    <row r="9" spans="1:29" x14ac:dyDescent="0.25">
      <c r="A9" s="23"/>
      <c r="B9" s="23"/>
      <c r="C9" s="23"/>
      <c r="D9" s="23"/>
      <c r="E9" s="23"/>
      <c r="F9" s="23"/>
      <c r="G9" s="23"/>
      <c r="H9" s="23"/>
      <c r="I9" s="23"/>
      <c r="J9" s="23"/>
      <c r="K9" s="23"/>
      <c r="L9" s="23"/>
      <c r="M9" s="23"/>
      <c r="N9" s="23"/>
      <c r="O9" s="23"/>
      <c r="P9" s="23"/>
      <c r="Q9" s="23"/>
      <c r="R9" s="23"/>
      <c r="S9" s="23"/>
      <c r="T9" s="23"/>
      <c r="U9" s="23"/>
      <c r="V9" s="23"/>
      <c r="W9" s="23"/>
      <c r="X9" s="23"/>
      <c r="Y9" s="23"/>
      <c r="Z9" s="42"/>
      <c r="AA9" s="42"/>
      <c r="AB9" s="42"/>
      <c r="AC9" s="42"/>
    </row>
    <row r="10" spans="1:29"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42"/>
      <c r="AA10" s="42"/>
      <c r="AB10" s="42"/>
      <c r="AC10" s="42"/>
    </row>
    <row r="11" spans="1:29"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42"/>
      <c r="AA11" s="42"/>
      <c r="AB11" s="42"/>
      <c r="AC11" s="42"/>
    </row>
    <row r="12" spans="1:29"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42"/>
      <c r="AA12" s="42"/>
      <c r="AB12" s="42"/>
      <c r="AC12" s="42"/>
    </row>
    <row r="13" spans="1:29"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42"/>
      <c r="AA13" s="42"/>
      <c r="AB13" s="42"/>
      <c r="AC13" s="42"/>
    </row>
    <row r="14" spans="1:29"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42"/>
      <c r="AA14" s="42"/>
      <c r="AB14" s="42"/>
      <c r="AC14" s="42"/>
    </row>
    <row r="15" spans="1:29"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42"/>
      <c r="AA15" s="42"/>
      <c r="AB15" s="42"/>
      <c r="AC15" s="42"/>
    </row>
    <row r="16" spans="1:29"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42"/>
      <c r="AA16" s="42"/>
      <c r="AB16" s="42"/>
      <c r="AC16" s="42"/>
    </row>
    <row r="17" spans="1:29"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42"/>
      <c r="AA17" s="42"/>
      <c r="AB17" s="42"/>
      <c r="AC17" s="42"/>
    </row>
    <row r="18" spans="1:29"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42"/>
      <c r="AA18" s="42"/>
      <c r="AB18" s="42"/>
      <c r="AC18" s="42"/>
    </row>
    <row r="19" spans="1:29"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42"/>
      <c r="AA19" s="42"/>
      <c r="AB19" s="42"/>
      <c r="AC19" s="42"/>
    </row>
    <row r="20" spans="1:29"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42"/>
      <c r="AA20" s="42"/>
      <c r="AB20" s="42"/>
      <c r="AC20" s="42"/>
    </row>
    <row r="21" spans="1:29"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42"/>
      <c r="AA21" s="42"/>
      <c r="AB21" s="42"/>
      <c r="AC21" s="42"/>
    </row>
    <row r="22" spans="1:29"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42"/>
      <c r="AA22" s="42"/>
      <c r="AB22" s="42"/>
      <c r="AC22" s="42"/>
    </row>
    <row r="23" spans="1:29" x14ac:dyDescent="0.25">
      <c r="A23" s="23"/>
      <c r="B23" s="23"/>
      <c r="C23" s="23"/>
      <c r="D23" s="23"/>
      <c r="E23" s="23"/>
      <c r="F23" s="23"/>
      <c r="G23" s="23"/>
      <c r="H23" s="23"/>
      <c r="I23" s="23"/>
      <c r="J23" s="23"/>
      <c r="K23" s="23"/>
      <c r="L23" s="23"/>
      <c r="M23" s="23"/>
      <c r="N23" s="23"/>
      <c r="O23" s="23"/>
      <c r="P23" s="29"/>
      <c r="Q23" s="29"/>
      <c r="R23" s="29"/>
      <c r="S23" s="29"/>
      <c r="T23" s="29"/>
      <c r="U23" s="29"/>
      <c r="V23" s="29"/>
      <c r="W23" s="23"/>
      <c r="X23" s="23"/>
      <c r="Y23" s="23"/>
      <c r="Z23" s="42"/>
      <c r="AA23" s="42"/>
      <c r="AB23" s="42"/>
      <c r="AC23" s="42"/>
    </row>
    <row r="24" spans="1:29" x14ac:dyDescent="0.25">
      <c r="A24" s="23"/>
      <c r="B24" s="23"/>
      <c r="C24" s="23"/>
      <c r="D24" s="23"/>
      <c r="E24" s="23"/>
      <c r="F24" s="23"/>
      <c r="G24" s="23"/>
      <c r="H24" s="23"/>
      <c r="I24" s="23"/>
      <c r="J24" s="23"/>
      <c r="K24" s="23"/>
      <c r="L24" s="23"/>
      <c r="M24" s="23"/>
      <c r="N24" s="23"/>
      <c r="O24" s="23"/>
      <c r="P24" s="33"/>
      <c r="Q24" s="34" t="s">
        <v>11</v>
      </c>
      <c r="R24" s="34" t="s">
        <v>9</v>
      </c>
      <c r="S24" s="34" t="s">
        <v>6</v>
      </c>
      <c r="T24" s="34" t="s">
        <v>13</v>
      </c>
      <c r="U24" s="34" t="s">
        <v>10</v>
      </c>
      <c r="V24" s="34" t="s">
        <v>1048</v>
      </c>
      <c r="W24" s="23"/>
      <c r="X24" s="23"/>
      <c r="Y24" s="23"/>
      <c r="Z24" s="42"/>
      <c r="AA24" s="42"/>
      <c r="AB24" s="42"/>
      <c r="AC24" s="42"/>
    </row>
    <row r="25" spans="1:29" x14ac:dyDescent="0.25">
      <c r="A25" s="23"/>
      <c r="B25" s="23"/>
      <c r="C25" s="23"/>
      <c r="D25" s="23"/>
      <c r="E25" s="23"/>
      <c r="F25" s="23"/>
      <c r="G25" s="23"/>
      <c r="H25" s="23"/>
      <c r="I25" s="23"/>
      <c r="J25" s="23"/>
      <c r="K25" s="23"/>
      <c r="L25" s="23"/>
      <c r="M25" s="23"/>
      <c r="N25" s="23"/>
      <c r="O25" s="23"/>
      <c r="P25" s="35" t="s">
        <v>1002</v>
      </c>
      <c r="Q25" s="30"/>
      <c r="R25" s="30"/>
      <c r="S25" s="30"/>
      <c r="T25" s="30"/>
      <c r="U25" s="30"/>
      <c r="V25" s="30"/>
      <c r="W25" s="23"/>
      <c r="X25" s="23"/>
      <c r="Y25" s="23"/>
      <c r="Z25" s="42"/>
      <c r="AA25" s="42"/>
      <c r="AB25" s="42"/>
      <c r="AC25" s="42"/>
    </row>
    <row r="26" spans="1:29" x14ac:dyDescent="0.25">
      <c r="A26" s="23"/>
      <c r="B26" s="23"/>
      <c r="C26" s="23"/>
      <c r="D26" s="23"/>
      <c r="E26" s="23"/>
      <c r="F26" s="23"/>
      <c r="G26" s="23"/>
      <c r="H26" s="23"/>
      <c r="I26" s="23"/>
      <c r="J26" s="23"/>
      <c r="K26" s="23"/>
      <c r="L26" s="23"/>
      <c r="M26" s="23"/>
      <c r="N26" s="23"/>
      <c r="O26" s="23"/>
      <c r="P26" s="36" t="s">
        <v>20</v>
      </c>
      <c r="Q26" s="31">
        <v>891</v>
      </c>
      <c r="R26" s="31">
        <v>1332</v>
      </c>
      <c r="S26" s="31">
        <v>1282</v>
      </c>
      <c r="T26" s="31">
        <v>739</v>
      </c>
      <c r="U26" s="31">
        <v>560</v>
      </c>
      <c r="V26" s="31">
        <v>4804</v>
      </c>
      <c r="W26" s="23"/>
      <c r="X26" s="23"/>
      <c r="Y26" s="23"/>
      <c r="Z26" s="42"/>
      <c r="AA26" s="42"/>
      <c r="AB26" s="42"/>
      <c r="AC26" s="42"/>
    </row>
    <row r="27" spans="1:29" x14ac:dyDescent="0.25">
      <c r="A27" s="23"/>
      <c r="B27" s="23"/>
      <c r="C27" s="23"/>
      <c r="D27" s="23"/>
      <c r="E27" s="23"/>
      <c r="F27" s="23"/>
      <c r="G27" s="23"/>
      <c r="H27" s="23"/>
      <c r="I27" s="23"/>
      <c r="J27" s="23"/>
      <c r="K27" s="23"/>
      <c r="L27" s="23"/>
      <c r="M27" s="23"/>
      <c r="N27" s="23"/>
      <c r="O27" s="23"/>
      <c r="P27" s="36" t="s">
        <v>12</v>
      </c>
      <c r="Q27" s="31">
        <v>1991</v>
      </c>
      <c r="R27" s="31">
        <v>1886</v>
      </c>
      <c r="S27" s="31">
        <v>1206</v>
      </c>
      <c r="T27" s="31">
        <v>884</v>
      </c>
      <c r="U27" s="31">
        <v>1722</v>
      </c>
      <c r="V27" s="31">
        <v>7689</v>
      </c>
      <c r="W27" s="23"/>
      <c r="X27" s="23"/>
      <c r="Y27" s="23"/>
      <c r="Z27" s="42"/>
      <c r="AA27" s="42"/>
      <c r="AB27" s="42"/>
      <c r="AC27" s="42"/>
    </row>
    <row r="28" spans="1:29" x14ac:dyDescent="0.25">
      <c r="A28" s="23"/>
      <c r="B28" s="23"/>
      <c r="C28" s="23"/>
      <c r="D28" s="23"/>
      <c r="E28" s="23"/>
      <c r="F28" s="23"/>
      <c r="G28" s="23"/>
      <c r="H28" s="23"/>
      <c r="I28" s="23"/>
      <c r="J28" s="23"/>
      <c r="K28" s="23"/>
      <c r="L28" s="23"/>
      <c r="M28" s="23"/>
      <c r="N28" s="23"/>
      <c r="O28" s="23"/>
      <c r="P28" s="36" t="s">
        <v>8</v>
      </c>
      <c r="Q28" s="31">
        <v>1163</v>
      </c>
      <c r="R28" s="31">
        <v>1180</v>
      </c>
      <c r="S28" s="31">
        <v>1616</v>
      </c>
      <c r="T28" s="31">
        <v>1043</v>
      </c>
      <c r="U28" s="31">
        <v>1747</v>
      </c>
      <c r="V28" s="31">
        <v>6749</v>
      </c>
      <c r="W28" s="23"/>
      <c r="X28" s="23"/>
      <c r="Y28" s="23"/>
      <c r="Z28" s="42"/>
      <c r="AA28" s="42"/>
      <c r="AB28" s="42"/>
      <c r="AC28" s="42"/>
    </row>
    <row r="29" spans="1:29" x14ac:dyDescent="0.25">
      <c r="A29" s="23"/>
      <c r="B29" s="23"/>
      <c r="C29" s="23"/>
      <c r="D29" s="23"/>
      <c r="E29" s="23"/>
      <c r="F29" s="23"/>
      <c r="G29" s="23"/>
      <c r="H29" s="23"/>
      <c r="I29" s="23"/>
      <c r="J29" s="23"/>
      <c r="K29" s="23"/>
      <c r="L29" s="23"/>
      <c r="M29" s="23"/>
      <c r="N29" s="23"/>
      <c r="O29" s="23"/>
      <c r="P29" s="36" t="s">
        <v>16</v>
      </c>
      <c r="Q29" s="31">
        <v>1438</v>
      </c>
      <c r="R29" s="31">
        <v>1616</v>
      </c>
      <c r="S29" s="31">
        <v>866</v>
      </c>
      <c r="T29" s="31">
        <v>829</v>
      </c>
      <c r="U29" s="31">
        <v>2070</v>
      </c>
      <c r="V29" s="31">
        <v>6819</v>
      </c>
      <c r="W29" s="23"/>
      <c r="X29" s="23"/>
      <c r="Y29" s="23"/>
      <c r="Z29" s="42"/>
      <c r="AA29" s="42"/>
      <c r="AB29" s="42"/>
      <c r="AC29" s="42"/>
    </row>
    <row r="30" spans="1:29" x14ac:dyDescent="0.25">
      <c r="A30" s="23"/>
      <c r="B30" s="23"/>
      <c r="C30" s="23"/>
      <c r="D30" s="23"/>
      <c r="E30" s="23"/>
      <c r="F30" s="23"/>
      <c r="G30" s="23"/>
      <c r="H30" s="23"/>
      <c r="I30" s="23"/>
      <c r="J30" s="23"/>
      <c r="K30" s="23"/>
      <c r="L30" s="23"/>
      <c r="M30" s="23"/>
      <c r="N30" s="23"/>
      <c r="O30" s="23"/>
      <c r="P30" s="35" t="s">
        <v>1001</v>
      </c>
      <c r="Q30" s="32"/>
      <c r="R30" s="32"/>
      <c r="S30" s="32"/>
      <c r="T30" s="32"/>
      <c r="U30" s="32"/>
      <c r="V30" s="32"/>
      <c r="W30" s="23"/>
      <c r="X30" s="23"/>
      <c r="Y30" s="23"/>
      <c r="Z30" s="42"/>
      <c r="AA30" s="42"/>
      <c r="AB30" s="42"/>
      <c r="AC30" s="42"/>
    </row>
    <row r="31" spans="1:29" x14ac:dyDescent="0.25">
      <c r="A31" s="23"/>
      <c r="B31" s="23"/>
      <c r="C31" s="23"/>
      <c r="D31" s="23"/>
      <c r="E31" s="23"/>
      <c r="F31" s="23"/>
      <c r="G31" s="23"/>
      <c r="H31" s="23"/>
      <c r="I31" s="23"/>
      <c r="J31" s="23"/>
      <c r="K31" s="23"/>
      <c r="L31" s="23"/>
      <c r="M31" s="23"/>
      <c r="N31" s="23"/>
      <c r="O31" s="23"/>
      <c r="P31" s="36" t="s">
        <v>24</v>
      </c>
      <c r="Q31" s="31">
        <v>1233</v>
      </c>
      <c r="R31" s="31">
        <v>223</v>
      </c>
      <c r="S31" s="31">
        <v>1680</v>
      </c>
      <c r="T31" s="31">
        <v>990</v>
      </c>
      <c r="U31" s="31">
        <v>1508</v>
      </c>
      <c r="V31" s="31">
        <v>5634</v>
      </c>
      <c r="W31" s="23"/>
      <c r="X31" s="23"/>
      <c r="Y31" s="23"/>
      <c r="Z31" s="42"/>
      <c r="AA31" s="42"/>
      <c r="AB31" s="42"/>
      <c r="AC31" s="42"/>
    </row>
    <row r="32" spans="1:29" x14ac:dyDescent="0.25">
      <c r="A32" s="23"/>
      <c r="B32" s="23"/>
      <c r="C32" s="23"/>
      <c r="D32" s="23"/>
      <c r="E32" s="23"/>
      <c r="F32" s="23"/>
      <c r="G32" s="23"/>
      <c r="H32" s="23"/>
      <c r="I32" s="23"/>
      <c r="J32" s="23"/>
      <c r="K32" s="23"/>
      <c r="L32" s="23"/>
      <c r="M32" s="23"/>
      <c r="N32" s="23"/>
      <c r="O32" s="23"/>
      <c r="P32" s="36" t="s">
        <v>15</v>
      </c>
      <c r="Q32" s="31">
        <v>1598</v>
      </c>
      <c r="R32" s="31">
        <v>1907</v>
      </c>
      <c r="S32" s="31">
        <v>869</v>
      </c>
      <c r="T32" s="31">
        <v>1426</v>
      </c>
      <c r="U32" s="31">
        <v>1416</v>
      </c>
      <c r="V32" s="31">
        <v>7216</v>
      </c>
      <c r="W32" s="23"/>
      <c r="X32" s="23"/>
      <c r="Y32" s="23"/>
      <c r="Z32" s="42"/>
      <c r="AA32" s="42"/>
      <c r="AB32" s="42"/>
      <c r="AC32" s="42"/>
    </row>
    <row r="33" spans="1:29" x14ac:dyDescent="0.25">
      <c r="A33" s="23"/>
      <c r="B33" s="23"/>
      <c r="C33" s="23"/>
      <c r="D33" s="23"/>
      <c r="E33" s="23"/>
      <c r="F33" s="23"/>
      <c r="G33" s="23"/>
      <c r="H33" s="23"/>
      <c r="I33" s="23"/>
      <c r="J33" s="23"/>
      <c r="K33" s="23"/>
      <c r="L33" s="23"/>
      <c r="M33" s="23"/>
      <c r="N33" s="23"/>
      <c r="O33" s="23"/>
      <c r="P33" s="36" t="s">
        <v>5</v>
      </c>
      <c r="Q33" s="31">
        <v>900</v>
      </c>
      <c r="R33" s="31">
        <v>1016</v>
      </c>
      <c r="S33" s="31">
        <v>960</v>
      </c>
      <c r="T33" s="31">
        <v>940</v>
      </c>
      <c r="U33" s="31">
        <v>1193</v>
      </c>
      <c r="V33" s="31">
        <v>5009</v>
      </c>
      <c r="W33" s="23"/>
      <c r="X33" s="23"/>
      <c r="Y33" s="23"/>
      <c r="Z33" s="42"/>
      <c r="AA33" s="42"/>
      <c r="AB33" s="42"/>
      <c r="AC33" s="42"/>
    </row>
    <row r="34" spans="1:29" x14ac:dyDescent="0.25">
      <c r="A34" s="23"/>
      <c r="B34" s="23"/>
      <c r="C34" s="23"/>
      <c r="D34" s="23"/>
      <c r="E34" s="23"/>
      <c r="F34" s="23"/>
      <c r="G34" s="23"/>
      <c r="H34" s="23"/>
      <c r="I34" s="23"/>
      <c r="J34" s="23"/>
      <c r="K34" s="23"/>
      <c r="L34" s="23"/>
      <c r="M34" s="23"/>
      <c r="N34" s="23"/>
      <c r="O34" s="23"/>
      <c r="P34" s="36" t="s">
        <v>18</v>
      </c>
      <c r="Q34" s="31">
        <v>900</v>
      </c>
      <c r="R34" s="31">
        <v>1470</v>
      </c>
      <c r="S34" s="31">
        <v>1617</v>
      </c>
      <c r="T34" s="31">
        <v>1314</v>
      </c>
      <c r="U34" s="31">
        <v>941</v>
      </c>
      <c r="V34" s="31">
        <v>6242</v>
      </c>
      <c r="W34" s="23"/>
      <c r="X34" s="23"/>
      <c r="Y34" s="23"/>
      <c r="Z34" s="42"/>
      <c r="AA34" s="42"/>
      <c r="AB34" s="42"/>
      <c r="AC34" s="42"/>
    </row>
    <row r="35" spans="1:29" x14ac:dyDescent="0.25">
      <c r="A35" s="23"/>
      <c r="B35" s="23"/>
      <c r="C35" s="23"/>
      <c r="D35" s="23"/>
      <c r="E35" s="23"/>
      <c r="F35" s="23"/>
      <c r="G35" s="23"/>
      <c r="H35" s="23"/>
      <c r="I35" s="23"/>
      <c r="J35" s="23"/>
      <c r="K35" s="23"/>
      <c r="L35" s="23"/>
      <c r="M35" s="23"/>
      <c r="N35" s="23"/>
      <c r="O35" s="23"/>
      <c r="P35" s="36" t="s">
        <v>14</v>
      </c>
      <c r="Q35" s="31">
        <v>1255</v>
      </c>
      <c r="R35" s="31">
        <v>516</v>
      </c>
      <c r="S35" s="31">
        <v>1874</v>
      </c>
      <c r="T35" s="31">
        <v>1863</v>
      </c>
      <c r="U35" s="31">
        <v>1722</v>
      </c>
      <c r="V35" s="31">
        <v>7230</v>
      </c>
      <c r="W35" s="23"/>
      <c r="X35" s="23"/>
      <c r="Y35" s="23"/>
      <c r="Z35" s="42"/>
      <c r="AA35" s="42"/>
      <c r="AB35" s="42"/>
      <c r="AC35" s="42"/>
    </row>
    <row r="36" spans="1:29" x14ac:dyDescent="0.25">
      <c r="A36" s="23"/>
      <c r="B36" s="23"/>
      <c r="C36" s="23"/>
      <c r="D36" s="23"/>
      <c r="E36" s="23"/>
      <c r="F36" s="23"/>
      <c r="G36" s="23"/>
      <c r="H36" s="23"/>
      <c r="I36" s="23"/>
      <c r="J36" s="23"/>
      <c r="K36" s="23"/>
      <c r="L36" s="23"/>
      <c r="M36" s="23"/>
      <c r="N36" s="23"/>
      <c r="O36" s="23"/>
      <c r="P36" s="36" t="s">
        <v>19</v>
      </c>
      <c r="Q36" s="31">
        <v>1138</v>
      </c>
      <c r="R36" s="31">
        <v>1898</v>
      </c>
      <c r="S36" s="31">
        <v>1482</v>
      </c>
      <c r="T36" s="31">
        <v>846</v>
      </c>
      <c r="U36" s="31">
        <v>1154</v>
      </c>
      <c r="V36" s="31">
        <v>6518</v>
      </c>
      <c r="W36" s="37" t="s">
        <v>1091</v>
      </c>
      <c r="X36" s="38"/>
      <c r="Y36" s="23"/>
      <c r="Z36" s="42"/>
      <c r="AA36" s="42"/>
      <c r="AB36" s="42"/>
      <c r="AC36" s="42"/>
    </row>
    <row r="37" spans="1:29" x14ac:dyDescent="0.25">
      <c r="A37" s="23"/>
      <c r="B37" s="23"/>
      <c r="C37" s="23"/>
      <c r="D37" s="23"/>
      <c r="E37" s="23"/>
      <c r="F37" s="23"/>
      <c r="G37" s="23"/>
      <c r="H37" s="23"/>
      <c r="I37" s="23"/>
      <c r="J37" s="23"/>
      <c r="K37" s="23"/>
      <c r="L37" s="23"/>
      <c r="M37" s="23"/>
      <c r="N37" s="23"/>
      <c r="O37" s="23"/>
      <c r="P37" s="35" t="s">
        <v>1000</v>
      </c>
      <c r="Q37" s="32"/>
      <c r="R37" s="32"/>
      <c r="S37" s="32"/>
      <c r="T37" s="32"/>
      <c r="U37" s="32"/>
      <c r="V37" s="32"/>
      <c r="W37" s="37" t="s">
        <v>1092</v>
      </c>
      <c r="X37" s="39"/>
      <c r="Y37" s="23"/>
      <c r="Z37" s="42"/>
      <c r="AA37" s="42"/>
      <c r="AB37" s="42"/>
      <c r="AC37" s="42"/>
    </row>
    <row r="38" spans="1:29" x14ac:dyDescent="0.25">
      <c r="A38" s="23"/>
      <c r="B38" s="23"/>
      <c r="C38" s="23"/>
      <c r="D38" s="23"/>
      <c r="E38" s="23"/>
      <c r="F38" s="23"/>
      <c r="G38" s="23"/>
      <c r="H38" s="23"/>
      <c r="I38" s="23"/>
      <c r="J38" s="23"/>
      <c r="K38" s="23"/>
      <c r="L38" s="23"/>
      <c r="M38" s="23"/>
      <c r="N38" s="23"/>
      <c r="O38" s="23"/>
      <c r="P38" s="36" t="s">
        <v>17</v>
      </c>
      <c r="Q38" s="31">
        <v>1655</v>
      </c>
      <c r="R38" s="31">
        <v>805</v>
      </c>
      <c r="S38" s="31">
        <v>2263</v>
      </c>
      <c r="T38" s="31">
        <v>987</v>
      </c>
      <c r="U38" s="31">
        <v>1075</v>
      </c>
      <c r="V38" s="31">
        <v>6785</v>
      </c>
      <c r="W38" s="37" t="s">
        <v>1093</v>
      </c>
      <c r="X38" s="39"/>
      <c r="Y38" s="23"/>
      <c r="Z38" s="42"/>
      <c r="AA38" s="42"/>
      <c r="AB38" s="42"/>
      <c r="AC38" s="42"/>
    </row>
    <row r="39" spans="1:29" x14ac:dyDescent="0.25">
      <c r="A39" s="23"/>
      <c r="B39" s="23"/>
      <c r="C39" s="23"/>
      <c r="D39" s="23"/>
      <c r="E39" s="23"/>
      <c r="F39" s="23"/>
      <c r="G39" s="23"/>
      <c r="H39" s="23"/>
      <c r="I39" s="23"/>
      <c r="J39" s="23"/>
      <c r="K39" s="23"/>
      <c r="L39" s="23"/>
      <c r="M39" s="23"/>
      <c r="N39" s="23"/>
      <c r="O39" s="23"/>
      <c r="P39" s="36" t="s">
        <v>23</v>
      </c>
      <c r="Q39" s="31">
        <v>1104</v>
      </c>
      <c r="R39" s="31">
        <v>2280</v>
      </c>
      <c r="S39" s="31">
        <v>1445</v>
      </c>
      <c r="T39" s="31">
        <v>1722</v>
      </c>
      <c r="U39" s="31">
        <v>1196</v>
      </c>
      <c r="V39" s="31">
        <v>7747</v>
      </c>
      <c r="W39" s="37" t="s">
        <v>1090</v>
      </c>
      <c r="X39" s="40"/>
      <c r="Y39" s="23"/>
      <c r="Z39" s="42"/>
      <c r="AA39" s="42"/>
      <c r="AB39" s="42"/>
      <c r="AC39" s="42"/>
    </row>
    <row r="40" spans="1:29" x14ac:dyDescent="0.25">
      <c r="A40" s="23"/>
      <c r="B40" s="23"/>
      <c r="C40" s="23"/>
      <c r="D40" s="23"/>
      <c r="E40" s="23"/>
      <c r="F40" s="23"/>
      <c r="G40" s="23"/>
      <c r="H40" s="23"/>
      <c r="I40" s="23"/>
      <c r="J40" s="23"/>
      <c r="K40" s="23"/>
      <c r="L40" s="23"/>
      <c r="M40" s="23"/>
      <c r="N40" s="23"/>
      <c r="O40" s="23"/>
      <c r="P40" s="36" t="s">
        <v>7</v>
      </c>
      <c r="Q40" s="31">
        <v>372</v>
      </c>
      <c r="R40" s="31">
        <v>1818</v>
      </c>
      <c r="S40" s="31">
        <v>1346</v>
      </c>
      <c r="T40" s="31">
        <v>1156</v>
      </c>
      <c r="U40" s="31">
        <v>1484</v>
      </c>
      <c r="V40" s="31">
        <v>6176</v>
      </c>
      <c r="W40" s="23"/>
      <c r="X40" s="23"/>
      <c r="Y40" s="23"/>
      <c r="Z40" s="42"/>
      <c r="AA40" s="42"/>
      <c r="AB40" s="42"/>
      <c r="AC40" s="42"/>
    </row>
    <row r="41" spans="1:29" x14ac:dyDescent="0.25">
      <c r="B41" s="29"/>
      <c r="C41" s="29"/>
      <c r="D41" s="29"/>
      <c r="E41" s="29"/>
      <c r="F41" s="29"/>
      <c r="G41" s="29"/>
      <c r="H41" s="29"/>
      <c r="I41" s="29"/>
      <c r="J41" s="29"/>
      <c r="K41" s="29"/>
      <c r="L41" s="29"/>
      <c r="M41" s="29"/>
      <c r="N41" s="29"/>
      <c r="O41" s="29"/>
      <c r="P41" s="36" t="s">
        <v>22</v>
      </c>
      <c r="Q41" s="31">
        <v>1415</v>
      </c>
      <c r="R41" s="31">
        <v>1271</v>
      </c>
      <c r="S41" s="31">
        <v>1214</v>
      </c>
      <c r="T41" s="31">
        <v>1135</v>
      </c>
      <c r="U41" s="31">
        <v>1566</v>
      </c>
      <c r="V41" s="31">
        <v>6601</v>
      </c>
      <c r="W41" s="29"/>
      <c r="X41" s="29"/>
      <c r="Y41" s="29"/>
    </row>
    <row r="42" spans="1:29" x14ac:dyDescent="0.25">
      <c r="B42" s="29"/>
      <c r="C42" s="29"/>
      <c r="D42" s="29"/>
      <c r="E42" s="29"/>
      <c r="F42" s="29"/>
      <c r="G42" s="29"/>
      <c r="H42" s="29"/>
      <c r="I42" s="29"/>
      <c r="J42" s="29"/>
      <c r="K42" s="29"/>
      <c r="L42" s="29"/>
      <c r="M42" s="29"/>
      <c r="N42" s="29"/>
      <c r="O42" s="29"/>
      <c r="P42" s="36" t="s">
        <v>21</v>
      </c>
      <c r="Q42" s="31">
        <v>1362</v>
      </c>
      <c r="R42" s="31">
        <v>1363</v>
      </c>
      <c r="S42" s="31">
        <v>1152</v>
      </c>
      <c r="T42" s="31">
        <v>777</v>
      </c>
      <c r="U42" s="31">
        <v>750</v>
      </c>
      <c r="V42" s="31">
        <v>5404</v>
      </c>
      <c r="W42" s="29"/>
      <c r="X42" s="29"/>
      <c r="Y42" s="29"/>
    </row>
    <row r="43" spans="1:29" x14ac:dyDescent="0.25">
      <c r="B43" s="29"/>
      <c r="C43" s="29"/>
      <c r="D43" s="29"/>
      <c r="E43" s="29"/>
      <c r="F43" s="29"/>
      <c r="G43" s="29"/>
      <c r="H43" s="29"/>
      <c r="I43" s="29"/>
      <c r="J43" s="29"/>
      <c r="K43" s="29"/>
      <c r="L43" s="29"/>
      <c r="M43" s="29"/>
      <c r="N43" s="29"/>
      <c r="O43" s="29"/>
      <c r="P43" s="29"/>
      <c r="Q43" s="29"/>
      <c r="R43" s="29"/>
      <c r="S43" s="29"/>
      <c r="T43" s="29"/>
      <c r="U43" s="29"/>
      <c r="V43" s="29"/>
      <c r="W43" s="29"/>
      <c r="X43" s="29"/>
      <c r="Y43" s="29"/>
    </row>
    <row r="46" spans="1:29" x14ac:dyDescent="0.25">
      <c r="P46" s="28"/>
    </row>
  </sheetData>
  <conditionalFormatting sqref="Q25:U42">
    <cfRule type="dataBar" priority="2">
      <dataBar>
        <cfvo type="num" val="0"/>
        <cfvo type="formula" val="MAX($Q$25:$U$42)*2"/>
        <color theme="2" tint="-0.749992370372631"/>
      </dataBar>
      <extLst>
        <ext xmlns:x14="http://schemas.microsoft.com/office/spreadsheetml/2009/9/main" uri="{B025F937-C7B1-47D3-B67F-A62EFF666E3E}">
          <x14:id>{08A158A7-50FF-45C5-B14E-70028224B989}</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25556641-5460-448E-9C53-21189E606E9C}">
            <xm:f>Q$24=Pivot!$A$63</xm:f>
            <x14:dxf>
              <fill>
                <patternFill>
                  <bgColor rgb="FFF6E6AC"/>
                </patternFill>
              </fill>
              <border>
                <left style="thin">
                  <color theme="1" tint="0.499984740745262"/>
                </left>
                <right style="thin">
                  <color theme="1" tint="0.499984740745262"/>
                </right>
                <top style="thin">
                  <color theme="1" tint="0.499984740745262"/>
                </top>
                <bottom style="thin">
                  <color theme="1" tint="0.499984740745262"/>
                </bottom>
                <vertical/>
                <horizontal/>
              </border>
            </x14:dxf>
          </x14:cfRule>
          <xm:sqref>Q24:U42</xm:sqref>
        </x14:conditionalFormatting>
        <x14:conditionalFormatting xmlns:xm="http://schemas.microsoft.com/office/excel/2006/main">
          <x14:cfRule type="dataBar" id="{08A158A7-50FF-45C5-B14E-70028224B989}">
            <x14:dataBar minLength="0" maxLength="100" gradient="0">
              <x14:cfvo type="num">
                <xm:f>0</xm:f>
              </x14:cfvo>
              <x14:cfvo type="formula">
                <xm:f>MAX($Q$25:$U$42)*2</xm:f>
              </x14:cfvo>
              <x14:negativeFillColor rgb="FFFF0000"/>
              <x14:axisColor rgb="FF000000"/>
            </x14:dataBar>
          </x14:cfRule>
          <xm:sqref>Q25:U42</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Anjali Maurya</cp:lastModifiedBy>
  <dcterms:created xsi:type="dcterms:W3CDTF">2021-03-14T20:21:32Z</dcterms:created>
  <dcterms:modified xsi:type="dcterms:W3CDTF">2025-10-22T15:21:59Z</dcterms:modified>
</cp:coreProperties>
</file>